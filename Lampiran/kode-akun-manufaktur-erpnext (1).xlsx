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 ERPNext" sheetId="1" state="visible" r:id="rId1"/>
    <sheet xmlns:r="http://schemas.openxmlformats.org/officeDocument/2006/relationships" name="Panduan Akun Manufaktur" sheetId="2" state="visible" r:id="rId2"/>
    <sheet xmlns:r="http://schemas.openxmlformats.org/officeDocument/2006/relationships" name="Ringkasan &amp; Panduan Im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onsolas"/>
      <b val="1"/>
      <color rgb="001B365D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1B365D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2C5282"/>
        <bgColor rgb="002C5282"/>
      </patternFill>
    </fill>
    <fill>
      <patternFill patternType="solid">
        <fgColor rgb="00E2EFDA"/>
        <bgColor rgb="00E2EFDA"/>
      </patternFill>
    </fill>
    <fill>
      <patternFill patternType="solid">
        <fgColor rgb="00F2F4F8"/>
        <bgColor rgb="00F2F4F8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medium">
        <color rgb="001B365D"/>
      </top>
      <bottom style="medium">
        <color rgb="001B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B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6" fillId="4" borderId="2" pivotButton="0" quotePrefix="0" xfId="0"/>
    <xf numFmtId="0" fontId="6" fillId="4" borderId="2" applyAlignment="1" pivotButton="0" quotePrefix="0" xfId="0">
      <alignment horizontal="center" vertical="center"/>
    </xf>
    <xf numFmtId="0" fontId="7" fillId="4" borderId="2" pivotButton="0" quotePrefix="0" xfId="0"/>
    <xf numFmtId="0" fontId="4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7" fillId="0" borderId="2" pivotButton="0" quotePrefix="0" xfId="0"/>
    <xf numFmtId="0" fontId="3" fillId="5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 wrapText="1"/>
    </xf>
    <xf numFmtId="0" fontId="8" fillId="0" borderId="0" pivotButton="0" quotePrefix="0" xfId="0"/>
    <xf numFmtId="3" fontId="6" fillId="0" borderId="2" applyAlignment="1" pivotButton="0" quotePrefix="0" xfId="0">
      <alignment horizontal="center" vertical="center"/>
    </xf>
    <xf numFmtId="0" fontId="5" fillId="6" borderId="3" pivotButton="0" quotePrefix="0" xfId="0"/>
    <xf numFmtId="3" fontId="5" fillId="6" borderId="3" applyAlignment="1" pivotButton="0" quotePrefix="0" xfId="0">
      <alignment horizontal="center" vertical="center"/>
    </xf>
    <xf numFmtId="0" fontId="5" fillId="7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5" customWidth="1" min="3" max="3"/>
    <col width="28" customWidth="1" min="4" max="4"/>
    <col width="38" customWidth="1" min="5" max="5"/>
    <col width="32" customWidth="1" min="6" max="6"/>
    <col width="13" customWidth="1" min="7" max="7"/>
    <col width="65" customWidth="1" min="8" max="8"/>
  </cols>
  <sheetData>
    <row r="1">
      <c r="A1" s="1" t="inlineStr">
        <is>
          <t>CHART OF ACCOUNTS (KODE AKUN) - INDUSTRI MANUFAKTUR ERPNEXT</t>
        </is>
      </c>
    </row>
    <row r="2">
      <c r="A2" s="2" t="inlineStr">
        <is>
          <t>Format Standar Data Import &amp; Struktur Hirarki Akun ERPNext v15 (Studi Kasus: Industri Garment/Tekstil)</t>
        </is>
      </c>
    </row>
    <row r="3"/>
    <row r="4" ht="28" customHeight="1">
      <c r="A4" s="3" t="inlineStr">
        <is>
          <t>Kode Akun</t>
        </is>
      </c>
      <c r="B4" s="3" t="inlineStr">
        <is>
          <t>Nama Akun (Account Name)</t>
        </is>
      </c>
      <c r="C4" s="3" t="inlineStr">
        <is>
          <t>Tipe Root (Root Type)</t>
        </is>
      </c>
      <c r="D4" s="3" t="inlineStr">
        <is>
          <t>Apakah Group? (Is Group)</t>
        </is>
      </c>
      <c r="E4" s="3" t="inlineStr">
        <is>
          <t>Induk Akun (Parent Account)</t>
        </is>
      </c>
      <c r="F4" s="3" t="inlineStr">
        <is>
          <t>Tipe Akun ERPNext (Account Type)</t>
        </is>
      </c>
      <c r="G4" s="3" t="inlineStr">
        <is>
          <t>Mata Uang</t>
        </is>
      </c>
      <c r="H4" s="3" t="inlineStr">
        <is>
          <t>Fungsi &amp; Penjelasan Operasional Manufaktur</t>
        </is>
      </c>
    </row>
    <row r="5" ht="20" customHeight="1">
      <c r="A5" s="4" t="inlineStr">
        <is>
          <t>1000</t>
        </is>
      </c>
      <c r="B5" s="5" t="inlineStr">
        <is>
          <t>Aset</t>
        </is>
      </c>
      <c r="C5" s="6" t="inlineStr">
        <is>
          <t>Asset</t>
        </is>
      </c>
      <c r="D5" s="6" t="n">
        <v>1</v>
      </c>
      <c r="E5" s="5" t="inlineStr"/>
      <c r="F5" s="6" t="inlineStr"/>
      <c r="G5" s="6" t="inlineStr">
        <is>
          <t>IDR</t>
        </is>
      </c>
      <c r="H5" s="5" t="inlineStr">
        <is>
          <t>Root utama kelompok Aset/Aktiva</t>
        </is>
      </c>
    </row>
    <row r="6" ht="20" customHeight="1">
      <c r="A6" s="4" t="inlineStr">
        <is>
          <t>1100</t>
        </is>
      </c>
      <c r="B6" s="5" t="inlineStr">
        <is>
          <t>Aset Lancar</t>
        </is>
      </c>
      <c r="C6" s="6" t="inlineStr">
        <is>
          <t>Asset</t>
        </is>
      </c>
      <c r="D6" s="6" t="n">
        <v>1</v>
      </c>
      <c r="E6" s="5" t="inlineStr">
        <is>
          <t>1000 - Aset</t>
        </is>
      </c>
      <c r="F6" s="6" t="inlineStr"/>
      <c r="G6" s="6" t="inlineStr">
        <is>
          <t>IDR</t>
        </is>
      </c>
      <c r="H6" s="5" t="inlineStr">
        <is>
          <t>Kelompok Aset Lancar</t>
        </is>
      </c>
    </row>
    <row r="7" ht="20" customHeight="1">
      <c r="A7" s="4" t="inlineStr">
        <is>
          <t>1110</t>
        </is>
      </c>
      <c r="B7" s="5" t="inlineStr">
        <is>
          <t>Kas dan Bank</t>
        </is>
      </c>
      <c r="C7" s="6" t="inlineStr">
        <is>
          <t>Asset</t>
        </is>
      </c>
      <c r="D7" s="6" t="n">
        <v>1</v>
      </c>
      <c r="E7" s="5" t="inlineStr">
        <is>
          <t>1100 - Aset Lancar</t>
        </is>
      </c>
      <c r="F7" s="6" t="inlineStr">
        <is>
          <t>Bank</t>
        </is>
      </c>
      <c r="G7" s="6" t="inlineStr">
        <is>
          <t>IDR</t>
        </is>
      </c>
      <c r="H7" s="5" t="inlineStr">
        <is>
          <t>Kelompok Kas &amp; Rekening Bank</t>
        </is>
      </c>
    </row>
    <row r="8" ht="20" customHeight="1">
      <c r="A8" s="7" t="inlineStr">
        <is>
          <t>1111</t>
        </is>
      </c>
      <c r="B8" s="8" t="inlineStr">
        <is>
          <t>Kas Kecil (Petty Cash)</t>
        </is>
      </c>
      <c r="C8" s="9" t="inlineStr">
        <is>
          <t>Asset</t>
        </is>
      </c>
      <c r="D8" s="9" t="n">
        <v>0</v>
      </c>
      <c r="E8" s="10" t="inlineStr">
        <is>
          <t>1110 - Kas dan Bank</t>
        </is>
      </c>
      <c r="F8" s="9" t="inlineStr">
        <is>
          <t>Cash</t>
        </is>
      </c>
      <c r="G8" s="9" t="inlineStr">
        <is>
          <t>IDR</t>
        </is>
      </c>
      <c r="H8" s="8" t="inlineStr">
        <is>
          <t>Kas operasional harian / petty cash pabrik &amp; kantor</t>
        </is>
      </c>
    </row>
    <row r="9" ht="20" customHeight="1">
      <c r="A9" s="11" t="inlineStr">
        <is>
          <t>1112</t>
        </is>
      </c>
      <c r="B9" s="12" t="inlineStr">
        <is>
          <t>Kas Utama Operasional</t>
        </is>
      </c>
      <c r="C9" s="13" t="inlineStr">
        <is>
          <t>Asset</t>
        </is>
      </c>
      <c r="D9" s="13" t="n">
        <v>0</v>
      </c>
      <c r="E9" s="14" t="inlineStr">
        <is>
          <t>1110 - Kas dan Bank</t>
        </is>
      </c>
      <c r="F9" s="13" t="inlineStr">
        <is>
          <t>Cash</t>
        </is>
      </c>
      <c r="G9" s="13" t="inlineStr">
        <is>
          <t>IDR</t>
        </is>
      </c>
      <c r="H9" s="12" t="inlineStr">
        <is>
          <t>Kas utama penerimaan &amp; pengeluaran tunai</t>
        </is>
      </c>
    </row>
    <row r="10" ht="20" customHeight="1">
      <c r="A10" s="7" t="inlineStr">
        <is>
          <t>1121</t>
        </is>
      </c>
      <c r="B10" s="8" t="inlineStr">
        <is>
          <t>Bank Mandiri Operasional IDR</t>
        </is>
      </c>
      <c r="C10" s="9" t="inlineStr">
        <is>
          <t>Asset</t>
        </is>
      </c>
      <c r="D10" s="9" t="n">
        <v>0</v>
      </c>
      <c r="E10" s="10" t="inlineStr">
        <is>
          <t>1110 - Kas dan Bank</t>
        </is>
      </c>
      <c r="F10" s="9" t="inlineStr">
        <is>
          <t>Bank</t>
        </is>
      </c>
      <c r="G10" s="9" t="inlineStr">
        <is>
          <t>IDR</t>
        </is>
      </c>
      <c r="H10" s="8" t="inlineStr">
        <is>
          <t>Rekening bank utama transaksi bisnis</t>
        </is>
      </c>
    </row>
    <row r="11" ht="20" customHeight="1">
      <c r="A11" s="11" t="inlineStr">
        <is>
          <t>1122</t>
        </is>
      </c>
      <c r="B11" s="12" t="inlineStr">
        <is>
          <t>Bank BCA Operasional IDR</t>
        </is>
      </c>
      <c r="C11" s="13" t="inlineStr">
        <is>
          <t>Asset</t>
        </is>
      </c>
      <c r="D11" s="13" t="n">
        <v>0</v>
      </c>
      <c r="E11" s="14" t="inlineStr">
        <is>
          <t>1110 - Kas dan Bank</t>
        </is>
      </c>
      <c r="F11" s="13" t="inlineStr">
        <is>
          <t>Bank</t>
        </is>
      </c>
      <c r="G11" s="13" t="inlineStr">
        <is>
          <t>IDR</t>
        </is>
      </c>
      <c r="H11" s="12" t="inlineStr">
        <is>
          <t>Rekening bank sekunder penerimaan pelanggan</t>
        </is>
      </c>
    </row>
    <row r="12" ht="20" customHeight="1">
      <c r="A12" s="4" t="inlineStr">
        <is>
          <t>1200</t>
        </is>
      </c>
      <c r="B12" s="5" t="inlineStr">
        <is>
          <t>Piutang Usaha</t>
        </is>
      </c>
      <c r="C12" s="6" t="inlineStr">
        <is>
          <t>Asset</t>
        </is>
      </c>
      <c r="D12" s="6" t="n">
        <v>1</v>
      </c>
      <c r="E12" s="5" t="inlineStr">
        <is>
          <t>1100 - Aset Lancar</t>
        </is>
      </c>
      <c r="F12" s="6" t="inlineStr">
        <is>
          <t>Receivable</t>
        </is>
      </c>
      <c r="G12" s="6" t="inlineStr">
        <is>
          <t>IDR</t>
        </is>
      </c>
      <c r="H12" s="5" t="inlineStr">
        <is>
          <t>Kelompok Piutang Usaha</t>
        </is>
      </c>
    </row>
    <row r="13" ht="20" customHeight="1">
      <c r="A13" s="11" t="inlineStr">
        <is>
          <t>1210</t>
        </is>
      </c>
      <c r="B13" s="12" t="inlineStr">
        <is>
          <t>Piutang Dagang Pelanggan</t>
        </is>
      </c>
      <c r="C13" s="13" t="inlineStr">
        <is>
          <t>Asset</t>
        </is>
      </c>
      <c r="D13" s="13" t="n">
        <v>0</v>
      </c>
      <c r="E13" s="14" t="inlineStr">
        <is>
          <t>1200 - Piutang Usaha</t>
        </is>
      </c>
      <c r="F13" s="13" t="inlineStr">
        <is>
          <t>Receivable</t>
        </is>
      </c>
      <c r="G13" s="13" t="inlineStr">
        <is>
          <t>IDR</t>
        </is>
      </c>
      <c r="H13" s="12" t="inlineStr">
        <is>
          <t>Akun piutang utama pelanggan (Sales Invoice)</t>
        </is>
      </c>
    </row>
    <row r="14" ht="20" customHeight="1">
      <c r="A14" s="7" t="inlineStr">
        <is>
          <t>1220</t>
        </is>
      </c>
      <c r="B14" s="8" t="inlineStr">
        <is>
          <t>Cadangan Kerugian Piutang</t>
        </is>
      </c>
      <c r="C14" s="9" t="inlineStr">
        <is>
          <t>Asset</t>
        </is>
      </c>
      <c r="D14" s="9" t="n">
        <v>0</v>
      </c>
      <c r="E14" s="10" t="inlineStr">
        <is>
          <t>1200 - Piutang Usaha</t>
        </is>
      </c>
      <c r="F14" s="9" t="inlineStr"/>
      <c r="G14" s="9" t="inlineStr">
        <is>
          <t>IDR</t>
        </is>
      </c>
      <c r="H14" s="8" t="inlineStr">
        <is>
          <t>Kontra akun akumulasi penyisihan piutang tak tertagih</t>
        </is>
      </c>
    </row>
    <row r="15" ht="20" customHeight="1">
      <c r="A15" s="4" t="inlineStr">
        <is>
          <t>1300</t>
        </is>
      </c>
      <c r="B15" s="5" t="inlineStr">
        <is>
          <t>Persediaan / Stock Assets</t>
        </is>
      </c>
      <c r="C15" s="6" t="inlineStr">
        <is>
          <t>Asset</t>
        </is>
      </c>
      <c r="D15" s="6" t="n">
        <v>1</v>
      </c>
      <c r="E15" s="5" t="inlineStr">
        <is>
          <t>1100 - Aset Lancar</t>
        </is>
      </c>
      <c r="F15" s="6" t="inlineStr">
        <is>
          <t>Stock</t>
        </is>
      </c>
      <c r="G15" s="6" t="inlineStr">
        <is>
          <t>IDR</t>
        </is>
      </c>
      <c r="H15" s="5" t="inlineStr">
        <is>
          <t>Kelompok Utama Persediaan Perpetual ERPNext</t>
        </is>
      </c>
    </row>
    <row r="16" ht="20" customHeight="1">
      <c r="A16" s="7" t="inlineStr">
        <is>
          <t>1310</t>
        </is>
      </c>
      <c r="B16" s="8" t="inlineStr">
        <is>
          <t>Persediaan Bahan Baku (Raw Materials)</t>
        </is>
      </c>
      <c r="C16" s="9" t="inlineStr">
        <is>
          <t>Asset</t>
        </is>
      </c>
      <c r="D16" s="9" t="n">
        <v>0</v>
      </c>
      <c r="E16" s="10" t="inlineStr">
        <is>
          <t>1300 - Persediaan / Stock Assets</t>
        </is>
      </c>
      <c r="F16" s="9" t="inlineStr">
        <is>
          <t>Stock</t>
        </is>
      </c>
      <c r="G16" s="9" t="inlineStr">
        <is>
          <t>IDR</t>
        </is>
      </c>
      <c r="H16" s="8" t="inlineStr">
        <is>
          <t>Gudang Bahan Baku (Kain Cotton, Rayon, Polyester, dll)</t>
        </is>
      </c>
    </row>
    <row r="17" ht="20" customHeight="1">
      <c r="A17" s="11" t="inlineStr">
        <is>
          <t>1320</t>
        </is>
      </c>
      <c r="B17" s="12" t="inlineStr">
        <is>
          <t>Persediaan Bahan Penolong &amp; Aksesoris</t>
        </is>
      </c>
      <c r="C17" s="13" t="inlineStr">
        <is>
          <t>Asset</t>
        </is>
      </c>
      <c r="D17" s="13" t="n">
        <v>0</v>
      </c>
      <c r="E17" s="14" t="inlineStr">
        <is>
          <t>1300 - Persediaan / Stock Assets</t>
        </is>
      </c>
      <c r="F17" s="13" t="inlineStr">
        <is>
          <t>Stock</t>
        </is>
      </c>
      <c r="G17" s="13" t="inlineStr">
        <is>
          <t>IDR</t>
        </is>
      </c>
      <c r="H17" s="12" t="inlineStr">
        <is>
          <t>Gudang Aksesoris (Benang, Kancing, Resleting, Label)</t>
        </is>
      </c>
    </row>
    <row r="18" ht="20" customHeight="1">
      <c r="A18" s="7" t="inlineStr">
        <is>
          <t>1330</t>
        </is>
      </c>
      <c r="B18" s="8" t="inlineStr">
        <is>
          <t>Persediaan Bahan Kemasan (Packaging)</t>
        </is>
      </c>
      <c r="C18" s="9" t="inlineStr">
        <is>
          <t>Asset</t>
        </is>
      </c>
      <c r="D18" s="9" t="n">
        <v>0</v>
      </c>
      <c r="E18" s="10" t="inlineStr">
        <is>
          <t>1300 - Persediaan / Stock Assets</t>
        </is>
      </c>
      <c r="F18" s="9" t="inlineStr">
        <is>
          <t>Stock</t>
        </is>
      </c>
      <c r="G18" s="9" t="inlineStr">
        <is>
          <t>IDR</t>
        </is>
      </c>
      <c r="H18" s="8" t="inlineStr">
        <is>
          <t>Gudang Kemasan (Plastik Polybag, Karton Box, Hangtag)</t>
        </is>
      </c>
    </row>
    <row r="19" ht="20" customHeight="1">
      <c r="A19" s="11" t="inlineStr">
        <is>
          <t>1340</t>
        </is>
      </c>
      <c r="B19" s="12" t="inlineStr">
        <is>
          <t>Persediaan Barang Dalam Proses (WIP)</t>
        </is>
      </c>
      <c r="C19" s="13" t="inlineStr">
        <is>
          <t>Asset</t>
        </is>
      </c>
      <c r="D19" s="13" t="n">
        <v>0</v>
      </c>
      <c r="E19" s="14" t="inlineStr">
        <is>
          <t>1300 - Persediaan / Stock Assets</t>
        </is>
      </c>
      <c r="F19" s="13" t="inlineStr">
        <is>
          <t>Stock</t>
        </is>
      </c>
      <c r="G19" s="13" t="inlineStr">
        <is>
          <t>IDR</t>
        </is>
      </c>
      <c r="H19" s="12" t="inlineStr">
        <is>
          <t>Akun transit nilai bahan yang sedang diproses di Pabrik/Workstation</t>
        </is>
      </c>
    </row>
    <row r="20" ht="20" customHeight="1">
      <c r="A20" s="7" t="inlineStr">
        <is>
          <t>1350</t>
        </is>
      </c>
      <c r="B20" s="8" t="inlineStr">
        <is>
          <t>Persediaan Barang Jadi (Finished Goods)</t>
        </is>
      </c>
      <c r="C20" s="9" t="inlineStr">
        <is>
          <t>Asset</t>
        </is>
      </c>
      <c r="D20" s="9" t="n">
        <v>0</v>
      </c>
      <c r="E20" s="10" t="inlineStr">
        <is>
          <t>1300 - Persediaan / Stock Assets</t>
        </is>
      </c>
      <c r="F20" s="9" t="inlineStr">
        <is>
          <t>Stock</t>
        </is>
      </c>
      <c r="G20" s="9" t="inlineStr">
        <is>
          <t>IDR</t>
        </is>
      </c>
      <c r="H20" s="8" t="inlineStr">
        <is>
          <t>Gudang Barang Jadi (Gamis, Hijab, Pakaian Siap Jual)</t>
        </is>
      </c>
    </row>
    <row r="21" ht="20" customHeight="1">
      <c r="A21" s="11" t="inlineStr">
        <is>
          <t>1360</t>
        </is>
      </c>
      <c r="B21" s="12" t="inlineStr">
        <is>
          <t>Persediaan Barang Sisa / Scrap / BS</t>
        </is>
      </c>
      <c r="C21" s="13" t="inlineStr">
        <is>
          <t>Asset</t>
        </is>
      </c>
      <c r="D21" s="13" t="n">
        <v>0</v>
      </c>
      <c r="E21" s="14" t="inlineStr">
        <is>
          <t>1300 - Persediaan / Stock Assets</t>
        </is>
      </c>
      <c r="F21" s="13" t="inlineStr">
        <is>
          <t>Stock</t>
        </is>
      </c>
      <c r="G21" s="13" t="inlineStr">
        <is>
          <t>IDR</t>
        </is>
      </c>
      <c r="H21" s="12" t="inlineStr">
        <is>
          <t>Gudang Limbah Kain Sisa Pemotongan / Produk BS</t>
        </is>
      </c>
    </row>
    <row r="22" ht="20" customHeight="1">
      <c r="A22" s="4" t="inlineStr">
        <is>
          <t>1400</t>
        </is>
      </c>
      <c r="B22" s="5" t="inlineStr">
        <is>
          <t>Uang Muka &amp; Biaya Dibayar Di Muka</t>
        </is>
      </c>
      <c r="C22" s="6" t="inlineStr">
        <is>
          <t>Asset</t>
        </is>
      </c>
      <c r="D22" s="6" t="n">
        <v>1</v>
      </c>
      <c r="E22" s="5" t="inlineStr">
        <is>
          <t>1100 - Aset Lancar</t>
        </is>
      </c>
      <c r="F22" s="6" t="inlineStr"/>
      <c r="G22" s="6" t="inlineStr">
        <is>
          <t>IDR</t>
        </is>
      </c>
      <c r="H22" s="5" t="inlineStr">
        <is>
          <t>Uang Muka &amp; Prepaid Expenses</t>
        </is>
      </c>
    </row>
    <row r="23" ht="20" customHeight="1">
      <c r="A23" s="11" t="inlineStr">
        <is>
          <t>1410</t>
        </is>
      </c>
      <c r="B23" s="12" t="inlineStr">
        <is>
          <t>Uang Muka Pembelian Pemasok</t>
        </is>
      </c>
      <c r="C23" s="13" t="inlineStr">
        <is>
          <t>Asset</t>
        </is>
      </c>
      <c r="D23" s="13" t="n">
        <v>0</v>
      </c>
      <c r="E23" s="14" t="inlineStr">
        <is>
          <t>1400 - Uang Muka &amp; Biaya Dibayar Di Muka</t>
        </is>
      </c>
      <c r="F23" s="13" t="inlineStr">
        <is>
          <t>Payable</t>
        </is>
      </c>
      <c r="G23" s="13" t="inlineStr">
        <is>
          <t>IDR</t>
        </is>
      </c>
      <c r="H23" s="12" t="inlineStr">
        <is>
          <t>Uang muka/DP ke Supplier bahan baku sebelum Purchase Invoice</t>
        </is>
      </c>
    </row>
    <row r="24" ht="20" customHeight="1">
      <c r="A24" s="7" t="inlineStr">
        <is>
          <t>1420</t>
        </is>
      </c>
      <c r="B24" s="8" t="inlineStr">
        <is>
          <t>Sewa Dibayar Di Muka</t>
        </is>
      </c>
      <c r="C24" s="9" t="inlineStr">
        <is>
          <t>Asset</t>
        </is>
      </c>
      <c r="D24" s="9" t="n">
        <v>0</v>
      </c>
      <c r="E24" s="10" t="inlineStr">
        <is>
          <t>1400 - Uang Muka &amp; Biaya Dibayar Di Muka</t>
        </is>
      </c>
      <c r="F24" s="9" t="inlineStr"/>
      <c r="G24" s="9" t="inlineStr">
        <is>
          <t>IDR</t>
        </is>
      </c>
      <c r="H24" s="8" t="inlineStr">
        <is>
          <t>Sewa pabrik/gedung/mesin dibayar di muka</t>
        </is>
      </c>
    </row>
    <row r="25" ht="20" customHeight="1">
      <c r="A25" s="11" t="inlineStr">
        <is>
          <t>1430</t>
        </is>
      </c>
      <c r="B25" s="12" t="inlineStr">
        <is>
          <t>Asuransi Dibayar Di Muka</t>
        </is>
      </c>
      <c r="C25" s="13" t="inlineStr">
        <is>
          <t>Asset</t>
        </is>
      </c>
      <c r="D25" s="13" t="n">
        <v>0</v>
      </c>
      <c r="E25" s="14" t="inlineStr">
        <is>
          <t>1400 - Uang Muka &amp; Biaya Dibayar Di Muka</t>
        </is>
      </c>
      <c r="F25" s="13" t="inlineStr"/>
      <c r="G25" s="13" t="inlineStr">
        <is>
          <t>IDR</t>
        </is>
      </c>
      <c r="H25" s="12" t="inlineStr">
        <is>
          <t>Asuransi kebakaran pabrik/mesin dibayar di muka</t>
        </is>
      </c>
    </row>
    <row r="26" ht="20" customHeight="1">
      <c r="A26" s="4" t="inlineStr">
        <is>
          <t>1500</t>
        </is>
      </c>
      <c r="B26" s="5" t="inlineStr">
        <is>
          <t>Pajak Dibayar Di Muka</t>
        </is>
      </c>
      <c r="C26" s="6" t="inlineStr">
        <is>
          <t>Asset</t>
        </is>
      </c>
      <c r="D26" s="6" t="n">
        <v>1</v>
      </c>
      <c r="E26" s="5" t="inlineStr">
        <is>
          <t>1100 - Aset Lancar</t>
        </is>
      </c>
      <c r="F26" s="6" t="inlineStr">
        <is>
          <t>Tax</t>
        </is>
      </c>
      <c r="G26" s="6" t="inlineStr">
        <is>
          <t>IDR</t>
        </is>
      </c>
      <c r="H26" s="5" t="inlineStr">
        <is>
          <t>Uang Muka Pajak / Pajak Masukan</t>
        </is>
      </c>
    </row>
    <row r="27" ht="20" customHeight="1">
      <c r="A27" s="11" t="inlineStr">
        <is>
          <t>1510</t>
        </is>
      </c>
      <c r="B27" s="12" t="inlineStr">
        <is>
          <t>PPN Masukan (Input VAT)</t>
        </is>
      </c>
      <c r="C27" s="13" t="inlineStr">
        <is>
          <t>Asset</t>
        </is>
      </c>
      <c r="D27" s="13" t="n">
        <v>0</v>
      </c>
      <c r="E27" s="14" t="inlineStr">
        <is>
          <t>1500 - Pajak Dibayar Di Muka</t>
        </is>
      </c>
      <c r="F27" s="13" t="inlineStr">
        <is>
          <t>Tax</t>
        </is>
      </c>
      <c r="G27" s="13" t="inlineStr">
        <is>
          <t>IDR</t>
        </is>
      </c>
      <c r="H27" s="12" t="inlineStr">
        <is>
          <t>PPN Masukan atas pembelian bahan baku &amp; aset dari supplier PKP</t>
        </is>
      </c>
    </row>
    <row r="28" ht="20" customHeight="1">
      <c r="A28" s="7" t="inlineStr">
        <is>
          <t>1520</t>
        </is>
      </c>
      <c r="B28" s="8" t="inlineStr">
        <is>
          <t>PPh Pasal 22 Dibayar Di Muka</t>
        </is>
      </c>
      <c r="C28" s="9" t="inlineStr">
        <is>
          <t>Asset</t>
        </is>
      </c>
      <c r="D28" s="9" t="n">
        <v>0</v>
      </c>
      <c r="E28" s="10" t="inlineStr">
        <is>
          <t>1500 - Pajak Dibayar Di Muka</t>
        </is>
      </c>
      <c r="F28" s="9" t="inlineStr">
        <is>
          <t>Tax</t>
        </is>
      </c>
      <c r="G28" s="9" t="inlineStr">
        <is>
          <t>IDR</t>
        </is>
      </c>
      <c r="H28" s="8" t="inlineStr">
        <is>
          <t>Pajak penghasilan impor / pembelian tertentu</t>
        </is>
      </c>
    </row>
    <row r="29" ht="20" customHeight="1">
      <c r="A29" s="11" t="inlineStr">
        <is>
          <t>1530</t>
        </is>
      </c>
      <c r="B29" s="12" t="inlineStr">
        <is>
          <t>PPh Pasal 23 Dibayar Di Muka</t>
        </is>
      </c>
      <c r="C29" s="13" t="inlineStr">
        <is>
          <t>Asset</t>
        </is>
      </c>
      <c r="D29" s="13" t="n">
        <v>0</v>
      </c>
      <c r="E29" s="14" t="inlineStr">
        <is>
          <t>1500 - Pajak Dibayar Di Muka</t>
        </is>
      </c>
      <c r="F29" s="13" t="inlineStr">
        <is>
          <t>Tax</t>
        </is>
      </c>
      <c r="G29" s="13" t="inlineStr">
        <is>
          <t>IDR</t>
        </is>
      </c>
      <c r="H29" s="12" t="inlineStr">
        <is>
          <t>Pajak atas jasa yang dipotong pihak ketiga</t>
        </is>
      </c>
    </row>
    <row r="30" ht="20" customHeight="1">
      <c r="A30" s="4" t="inlineStr">
        <is>
          <t>2000</t>
        </is>
      </c>
      <c r="B30" s="5" t="inlineStr">
        <is>
          <t>Aset Tidak Lancar</t>
        </is>
      </c>
      <c r="C30" s="6" t="inlineStr">
        <is>
          <t>Asset</t>
        </is>
      </c>
      <c r="D30" s="6" t="n">
        <v>1</v>
      </c>
      <c r="E30" s="5" t="inlineStr">
        <is>
          <t>1000 - Aset</t>
        </is>
      </c>
      <c r="F30" s="6" t="inlineStr"/>
      <c r="G30" s="6" t="inlineStr">
        <is>
          <t>IDR</t>
        </is>
      </c>
      <c r="H30" s="5" t="inlineStr">
        <is>
          <t>Kelompok Aset Tetap &amp; Aset Jangka Panjang</t>
        </is>
      </c>
    </row>
    <row r="31" ht="20" customHeight="1">
      <c r="A31" s="4" t="inlineStr">
        <is>
          <t>2100</t>
        </is>
      </c>
      <c r="B31" s="5" t="inlineStr">
        <is>
          <t>Aset Tetap Pabrik &amp; Kantor</t>
        </is>
      </c>
      <c r="C31" s="6" t="inlineStr">
        <is>
          <t>Asset</t>
        </is>
      </c>
      <c r="D31" s="6" t="n">
        <v>1</v>
      </c>
      <c r="E31" s="5" t="inlineStr">
        <is>
          <t>2000 - Aset Tidak Lancar</t>
        </is>
      </c>
      <c r="F31" s="6" t="inlineStr">
        <is>
          <t>Fixed Asset</t>
        </is>
      </c>
      <c r="G31" s="6" t="inlineStr">
        <is>
          <t>IDR</t>
        </is>
      </c>
      <c r="H31" s="5" t="inlineStr">
        <is>
          <t>Grup Aset Tetap</t>
        </is>
      </c>
    </row>
    <row r="32" ht="20" customHeight="1">
      <c r="A32" s="7" t="inlineStr">
        <is>
          <t>2110</t>
        </is>
      </c>
      <c r="B32" s="8" t="inlineStr">
        <is>
          <t>Tanah Bangunan Pabrik</t>
        </is>
      </c>
      <c r="C32" s="9" t="inlineStr">
        <is>
          <t>Asset</t>
        </is>
      </c>
      <c r="D32" s="9" t="n">
        <v>0</v>
      </c>
      <c r="E32" s="10" t="inlineStr">
        <is>
          <t>2100 - Aset Tetap Pabrik &amp; Kantor</t>
        </is>
      </c>
      <c r="F32" s="9" t="inlineStr">
        <is>
          <t>Fixed Asset</t>
        </is>
      </c>
      <c r="G32" s="9" t="inlineStr">
        <is>
          <t>IDR</t>
        </is>
      </c>
      <c r="H32" s="8" t="inlineStr">
        <is>
          <t>Nilai perolehan tanah lokasi pabrik</t>
        </is>
      </c>
    </row>
    <row r="33" ht="20" customHeight="1">
      <c r="A33" s="11" t="inlineStr">
        <is>
          <t>2120</t>
        </is>
      </c>
      <c r="B33" s="12" t="inlineStr">
        <is>
          <t>Gedung &amp; Bangunan Pabrik</t>
        </is>
      </c>
      <c r="C33" s="13" t="inlineStr">
        <is>
          <t>Asset</t>
        </is>
      </c>
      <c r="D33" s="13" t="n">
        <v>0</v>
      </c>
      <c r="E33" s="14" t="inlineStr">
        <is>
          <t>2100 - Aset Tetap Pabrik &amp; Kantor</t>
        </is>
      </c>
      <c r="F33" s="13" t="inlineStr">
        <is>
          <t>Fixed Asset</t>
        </is>
      </c>
      <c r="G33" s="13" t="inlineStr">
        <is>
          <t>IDR</t>
        </is>
      </c>
      <c r="H33" s="12" t="inlineStr">
        <is>
          <t>Nilai perolehan bangunan pabrik &amp; gudang</t>
        </is>
      </c>
    </row>
    <row r="34" ht="20" customHeight="1">
      <c r="A34" s="7" t="inlineStr">
        <is>
          <t>2129</t>
        </is>
      </c>
      <c r="B34" s="8" t="inlineStr">
        <is>
          <t>Akumulasi Penyusutan Gedung Pabrik</t>
        </is>
      </c>
      <c r="C34" s="9" t="inlineStr">
        <is>
          <t>Asset</t>
        </is>
      </c>
      <c r="D34" s="9" t="n">
        <v>0</v>
      </c>
      <c r="E34" s="10" t="inlineStr">
        <is>
          <t>2100 - Aset Tetap Pabrik &amp; Kantor</t>
        </is>
      </c>
      <c r="F34" s="9" t="inlineStr">
        <is>
          <t>Accumulated Depreciation</t>
        </is>
      </c>
      <c r="G34" s="9" t="inlineStr">
        <is>
          <t>IDR</t>
        </is>
      </c>
      <c r="H34" s="8" t="inlineStr">
        <is>
          <t>Kontra akun penyusutan gedung pabrik</t>
        </is>
      </c>
    </row>
    <row r="35" ht="20" customHeight="1">
      <c r="A35" s="11" t="inlineStr">
        <is>
          <t>2130</t>
        </is>
      </c>
      <c r="B35" s="12" t="inlineStr">
        <is>
          <t>Mesin &amp; Peralatan Produksi Garment</t>
        </is>
      </c>
      <c r="C35" s="13" t="inlineStr">
        <is>
          <t>Asset</t>
        </is>
      </c>
      <c r="D35" s="13" t="n">
        <v>0</v>
      </c>
      <c r="E35" s="14" t="inlineStr">
        <is>
          <t>2100 - Aset Tetap Pabrik &amp; Kantor</t>
        </is>
      </c>
      <c r="F35" s="13" t="inlineStr">
        <is>
          <t>Fixed Asset</t>
        </is>
      </c>
      <c r="G35" s="13" t="inlineStr">
        <is>
          <t>IDR</t>
        </is>
      </c>
      <c r="H35" s="12" t="inlineStr">
        <is>
          <t>Mesin potong, mesin jahit, mesin obras, steam press</t>
        </is>
      </c>
    </row>
    <row r="36" ht="20" customHeight="1">
      <c r="A36" s="7" t="inlineStr">
        <is>
          <t>2139</t>
        </is>
      </c>
      <c r="B36" s="8" t="inlineStr">
        <is>
          <t>Akumulasi Penyusutan Mesin Produksi</t>
        </is>
      </c>
      <c r="C36" s="9" t="inlineStr">
        <is>
          <t>Asset</t>
        </is>
      </c>
      <c r="D36" s="9" t="n">
        <v>0</v>
      </c>
      <c r="E36" s="10" t="inlineStr">
        <is>
          <t>2100 - Aset Tetap Pabrik &amp; Kantor</t>
        </is>
      </c>
      <c r="F36" s="9" t="inlineStr">
        <is>
          <t>Accumulated Depreciation</t>
        </is>
      </c>
      <c r="G36" s="9" t="inlineStr">
        <is>
          <t>IDR</t>
        </is>
      </c>
      <c r="H36" s="8" t="inlineStr">
        <is>
          <t>Kontra akun penyusutan mesin &amp; mesin jahit</t>
        </is>
      </c>
    </row>
    <row r="37" ht="20" customHeight="1">
      <c r="A37" s="11" t="inlineStr">
        <is>
          <t>2140</t>
        </is>
      </c>
      <c r="B37" s="12" t="inlineStr">
        <is>
          <t>Kendaraan Operasional &amp; Angkutan</t>
        </is>
      </c>
      <c r="C37" s="13" t="inlineStr">
        <is>
          <t>Asset</t>
        </is>
      </c>
      <c r="D37" s="13" t="n">
        <v>0</v>
      </c>
      <c r="E37" s="14" t="inlineStr">
        <is>
          <t>2100 - Aset Tetap Pabrik &amp; Kantor</t>
        </is>
      </c>
      <c r="F37" s="13" t="inlineStr">
        <is>
          <t>Fixed Asset</t>
        </is>
      </c>
      <c r="G37" s="13" t="inlineStr">
        <is>
          <t>IDR</t>
        </is>
      </c>
      <c r="H37" s="12" t="inlineStr">
        <is>
          <t>Mobil box pengiriman &amp; armada operasional</t>
        </is>
      </c>
    </row>
    <row r="38" ht="20" customHeight="1">
      <c r="A38" s="7" t="inlineStr">
        <is>
          <t>2149</t>
        </is>
      </c>
      <c r="B38" s="8" t="inlineStr">
        <is>
          <t>Akumulasi Penyusutan Kendaraan</t>
        </is>
      </c>
      <c r="C38" s="9" t="inlineStr">
        <is>
          <t>Asset</t>
        </is>
      </c>
      <c r="D38" s="9" t="n">
        <v>0</v>
      </c>
      <c r="E38" s="10" t="inlineStr">
        <is>
          <t>2100 - Aset Tetap Pabrik &amp; Kantor</t>
        </is>
      </c>
      <c r="F38" s="9" t="inlineStr">
        <is>
          <t>Accumulated Depreciation</t>
        </is>
      </c>
      <c r="G38" s="9" t="inlineStr">
        <is>
          <t>IDR</t>
        </is>
      </c>
      <c r="H38" s="8" t="inlineStr">
        <is>
          <t>Kontra akun penyusutan kendaraan</t>
        </is>
      </c>
    </row>
    <row r="39" ht="20" customHeight="1">
      <c r="A39" s="11" t="inlineStr">
        <is>
          <t>2150</t>
        </is>
      </c>
      <c r="B39" s="12" t="inlineStr">
        <is>
          <t>Inventaris &amp; Komputer Kantor</t>
        </is>
      </c>
      <c r="C39" s="13" t="inlineStr">
        <is>
          <t>Asset</t>
        </is>
      </c>
      <c r="D39" s="13" t="n">
        <v>0</v>
      </c>
      <c r="E39" s="14" t="inlineStr">
        <is>
          <t>2100 - Aset Tetap Pabrik &amp; Kantor</t>
        </is>
      </c>
      <c r="F39" s="13" t="inlineStr">
        <is>
          <t>Fixed Asset</t>
        </is>
      </c>
      <c r="G39" s="13" t="inlineStr">
        <is>
          <t>IDR</t>
        </is>
      </c>
      <c r="H39" s="12" t="inlineStr">
        <is>
          <t>Komputer, laptop, server, meja kantor</t>
        </is>
      </c>
    </row>
    <row r="40" ht="20" customHeight="1">
      <c r="A40" s="7" t="inlineStr">
        <is>
          <t>2159</t>
        </is>
      </c>
      <c r="B40" s="8" t="inlineStr">
        <is>
          <t>Akumulasi Penyusutan Inventaris Kantor</t>
        </is>
      </c>
      <c r="C40" s="9" t="inlineStr">
        <is>
          <t>Asset</t>
        </is>
      </c>
      <c r="D40" s="9" t="n">
        <v>0</v>
      </c>
      <c r="E40" s="10" t="inlineStr">
        <is>
          <t>2100 - Aset Tetap Pabrik &amp; Kantor</t>
        </is>
      </c>
      <c r="F40" s="9" t="inlineStr">
        <is>
          <t>Accumulated Depreciation</t>
        </is>
      </c>
      <c r="G40" s="9" t="inlineStr">
        <is>
          <t>IDR</t>
        </is>
      </c>
      <c r="H40" s="8" t="inlineStr">
        <is>
          <t>Kontra akun penyusutan inventaris kantor</t>
        </is>
      </c>
    </row>
    <row r="41" ht="20" customHeight="1">
      <c r="A41" s="4" t="inlineStr">
        <is>
          <t>3000</t>
        </is>
      </c>
      <c r="B41" s="5" t="inlineStr">
        <is>
          <t>Kewajiban</t>
        </is>
      </c>
      <c r="C41" s="6" t="inlineStr">
        <is>
          <t>Liability</t>
        </is>
      </c>
      <c r="D41" s="6" t="n">
        <v>1</v>
      </c>
      <c r="E41" s="5" t="inlineStr"/>
      <c r="F41" s="6" t="inlineStr"/>
      <c r="G41" s="6" t="inlineStr">
        <is>
          <t>IDR</t>
        </is>
      </c>
      <c r="H41" s="5" t="inlineStr">
        <is>
          <t>Root utama kelompok Kewajiban/Hutang</t>
        </is>
      </c>
    </row>
    <row r="42" ht="20" customHeight="1">
      <c r="A42" s="4" t="inlineStr">
        <is>
          <t>3100</t>
        </is>
      </c>
      <c r="B42" s="5" t="inlineStr">
        <is>
          <t>Kewajiban Jangka Pendek</t>
        </is>
      </c>
      <c r="C42" s="6" t="inlineStr">
        <is>
          <t>Liability</t>
        </is>
      </c>
      <c r="D42" s="6" t="n">
        <v>1</v>
      </c>
      <c r="E42" s="5" t="inlineStr">
        <is>
          <t>3000 - Kewajiban</t>
        </is>
      </c>
      <c r="F42" s="6" t="inlineStr"/>
      <c r="G42" s="6" t="inlineStr">
        <is>
          <t>IDR</t>
        </is>
      </c>
      <c r="H42" s="5" t="inlineStr">
        <is>
          <t>Hutang Jangka Pendek (&lt;1 Tahun)</t>
        </is>
      </c>
    </row>
    <row r="43" ht="20" customHeight="1">
      <c r="A43" s="11" t="inlineStr">
        <is>
          <t>3110</t>
        </is>
      </c>
      <c r="B43" s="12" t="inlineStr">
        <is>
          <t>Hutang Usaha Pemasok</t>
        </is>
      </c>
      <c r="C43" s="13" t="inlineStr">
        <is>
          <t>Liability</t>
        </is>
      </c>
      <c r="D43" s="13" t="n">
        <v>0</v>
      </c>
      <c r="E43" s="14" t="inlineStr">
        <is>
          <t>3100 - Kewajiban Jangka Pendek</t>
        </is>
      </c>
      <c r="F43" s="13" t="inlineStr">
        <is>
          <t>Payable</t>
        </is>
      </c>
      <c r="G43" s="13" t="inlineStr">
        <is>
          <t>IDR</t>
        </is>
      </c>
      <c r="H43" s="12" t="inlineStr">
        <is>
          <t>Akun hutang utama supplier (Purchase Invoice)</t>
        </is>
      </c>
    </row>
    <row r="44" ht="20" customHeight="1">
      <c r="A44" s="4" t="inlineStr">
        <is>
          <t>3120</t>
        </is>
      </c>
      <c r="B44" s="5" t="inlineStr">
        <is>
          <t>Akun Perantara Penerimaan Barang</t>
        </is>
      </c>
      <c r="C44" s="6" t="inlineStr">
        <is>
          <t>Liability</t>
        </is>
      </c>
      <c r="D44" s="6" t="n">
        <v>1</v>
      </c>
      <c r="E44" s="5" t="inlineStr">
        <is>
          <t>3100 - Kewajiban Jangka Pendek</t>
        </is>
      </c>
      <c r="F44" s="6" t="inlineStr">
        <is>
          <t>Stock Received But Not Billed</t>
        </is>
      </c>
      <c r="G44" s="6" t="inlineStr">
        <is>
          <t>IDR</t>
        </is>
      </c>
      <c r="H44" s="5" t="inlineStr">
        <is>
          <t>Grup Akun Perantara Penerimaan Logistik ERPNext</t>
        </is>
      </c>
    </row>
    <row r="45" ht="20" customHeight="1">
      <c r="A45" s="11" t="inlineStr">
        <is>
          <t>3121</t>
        </is>
      </c>
      <c r="B45" s="12" t="inlineStr">
        <is>
          <t>Hutang Penerimaan Barang (SRNB)</t>
        </is>
      </c>
      <c r="C45" s="13" t="inlineStr">
        <is>
          <t>Liability</t>
        </is>
      </c>
      <c r="D45" s="13" t="n">
        <v>0</v>
      </c>
      <c r="E45" s="14" t="inlineStr">
        <is>
          <t>3120 - Akun Perantara Penerimaan Barang</t>
        </is>
      </c>
      <c r="F45" s="13" t="inlineStr">
        <is>
          <t>Stock Received But Not Billed</t>
        </is>
      </c>
      <c r="G45" s="13" t="inlineStr">
        <is>
          <t>IDR</t>
        </is>
      </c>
      <c r="H45" s="12" t="inlineStr">
        <is>
          <t>Stock Received But Not Billed: Akun akrual otomatis saat Receipt Note dibuat sebelum Invoice</t>
        </is>
      </c>
    </row>
    <row r="46" ht="20" customHeight="1">
      <c r="A46" s="7" t="inlineStr">
        <is>
          <t>3130</t>
        </is>
      </c>
      <c r="B46" s="8" t="inlineStr">
        <is>
          <t>Uang Muka Penjualan Pelanggan</t>
        </is>
      </c>
      <c r="C46" s="9" t="inlineStr">
        <is>
          <t>Liability</t>
        </is>
      </c>
      <c r="D46" s="9" t="n">
        <v>0</v>
      </c>
      <c r="E46" s="10" t="inlineStr">
        <is>
          <t>3100 - Kewajiban Jangka Pendek</t>
        </is>
      </c>
      <c r="F46" s="9" t="inlineStr">
        <is>
          <t>Receivable</t>
        </is>
      </c>
      <c r="G46" s="9" t="inlineStr">
        <is>
          <t>IDR</t>
        </is>
      </c>
      <c r="H46" s="8" t="inlineStr">
        <is>
          <t>Uang muka/DP dari Customer sebelum Sales Invoice</t>
        </is>
      </c>
    </row>
    <row r="47" ht="20" customHeight="1">
      <c r="A47" s="4" t="inlineStr">
        <is>
          <t>3140</t>
        </is>
      </c>
      <c r="B47" s="5" t="inlineStr">
        <is>
          <t>Hutang Pajak</t>
        </is>
      </c>
      <c r="C47" s="6" t="inlineStr">
        <is>
          <t>Liability</t>
        </is>
      </c>
      <c r="D47" s="6" t="n">
        <v>1</v>
      </c>
      <c r="E47" s="5" t="inlineStr">
        <is>
          <t>3100 - Kewajiban Jangka Pendek</t>
        </is>
      </c>
      <c r="F47" s="6" t="inlineStr">
        <is>
          <t>Tax</t>
        </is>
      </c>
      <c r="G47" s="6" t="inlineStr">
        <is>
          <t>IDR</t>
        </is>
      </c>
      <c r="H47" s="5" t="inlineStr">
        <is>
          <t>Kelompok Hutang Pajak</t>
        </is>
      </c>
    </row>
    <row r="48" ht="20" customHeight="1">
      <c r="A48" s="7" t="inlineStr">
        <is>
          <t>3141</t>
        </is>
      </c>
      <c r="B48" s="8" t="inlineStr">
        <is>
          <t>PPN Keluaran (Output VAT)</t>
        </is>
      </c>
      <c r="C48" s="9" t="inlineStr">
        <is>
          <t>Liability</t>
        </is>
      </c>
      <c r="D48" s="9" t="n">
        <v>0</v>
      </c>
      <c r="E48" s="10" t="inlineStr">
        <is>
          <t>3140 - Hutang Pajak</t>
        </is>
      </c>
      <c r="F48" s="9" t="inlineStr">
        <is>
          <t>Tax</t>
        </is>
      </c>
      <c r="G48" s="9" t="inlineStr">
        <is>
          <t>IDR</t>
        </is>
      </c>
      <c r="H48" s="8" t="inlineStr">
        <is>
          <t>PPN Keluaran atas pemfakturan penjualan barang</t>
        </is>
      </c>
    </row>
    <row r="49" ht="20" customHeight="1">
      <c r="A49" s="11" t="inlineStr">
        <is>
          <t>3142</t>
        </is>
      </c>
      <c r="B49" s="12" t="inlineStr">
        <is>
          <t>Hutang PPh Pasal 21 (Gaji &amp; Upah)</t>
        </is>
      </c>
      <c r="C49" s="13" t="inlineStr">
        <is>
          <t>Liability</t>
        </is>
      </c>
      <c r="D49" s="13" t="n">
        <v>0</v>
      </c>
      <c r="E49" s="14" t="inlineStr">
        <is>
          <t>3140 - Hutang Pajak</t>
        </is>
      </c>
      <c r="F49" s="13" t="inlineStr">
        <is>
          <t>Tax</t>
        </is>
      </c>
      <c r="G49" s="13" t="inlineStr">
        <is>
          <t>IDR</t>
        </is>
      </c>
      <c r="H49" s="12" t="inlineStr">
        <is>
          <t>Potongan pajak PPh 21 atas gaji karyawan &amp; borongan</t>
        </is>
      </c>
    </row>
    <row r="50" ht="20" customHeight="1">
      <c r="A50" s="7" t="inlineStr">
        <is>
          <t>3143</t>
        </is>
      </c>
      <c r="B50" s="8" t="inlineStr">
        <is>
          <t>Hutang PPh Pasal 23</t>
        </is>
      </c>
      <c r="C50" s="9" t="inlineStr">
        <is>
          <t>Liability</t>
        </is>
      </c>
      <c r="D50" s="9" t="n">
        <v>0</v>
      </c>
      <c r="E50" s="10" t="inlineStr">
        <is>
          <t>3140 - Hutang Pajak</t>
        </is>
      </c>
      <c r="F50" s="9" t="inlineStr">
        <is>
          <t>Tax</t>
        </is>
      </c>
      <c r="G50" s="9" t="inlineStr">
        <is>
          <t>IDR</t>
        </is>
      </c>
      <c r="H50" s="8" t="inlineStr">
        <is>
          <t>Potongan PPh 23 atas jasa maklon/sewa/konsultan</t>
        </is>
      </c>
    </row>
    <row r="51" ht="20" customHeight="1">
      <c r="A51" s="11" t="inlineStr">
        <is>
          <t>3144</t>
        </is>
      </c>
      <c r="B51" s="12" t="inlineStr">
        <is>
          <t>Hutang PPh Pasal 25/29 Badan</t>
        </is>
      </c>
      <c r="C51" s="13" t="inlineStr">
        <is>
          <t>Liability</t>
        </is>
      </c>
      <c r="D51" s="13" t="n">
        <v>0</v>
      </c>
      <c r="E51" s="14" t="inlineStr">
        <is>
          <t>3140 - Hutang Pajak</t>
        </is>
      </c>
      <c r="F51" s="13" t="inlineStr">
        <is>
          <t>Tax</t>
        </is>
      </c>
      <c r="G51" s="13" t="inlineStr">
        <is>
          <t>IDR</t>
        </is>
      </c>
      <c r="H51" s="12" t="inlineStr">
        <is>
          <t>Akrual kewajiban PPh Badan tahunan</t>
        </is>
      </c>
    </row>
    <row r="52" ht="20" customHeight="1">
      <c r="A52" s="4" t="inlineStr">
        <is>
          <t>3150</t>
        </is>
      </c>
      <c r="B52" s="5" t="inlineStr">
        <is>
          <t>Beban Akrual / Yang Masih Harus Dibayar</t>
        </is>
      </c>
      <c r="C52" s="6" t="inlineStr">
        <is>
          <t>Liability</t>
        </is>
      </c>
      <c r="D52" s="6" t="n">
        <v>1</v>
      </c>
      <c r="E52" s="5" t="inlineStr">
        <is>
          <t>3100 - Kewajiban Jangka Pendek</t>
        </is>
      </c>
      <c r="F52" s="6" t="inlineStr"/>
      <c r="G52" s="6" t="inlineStr">
        <is>
          <t>IDR</t>
        </is>
      </c>
      <c r="H52" s="5" t="inlineStr">
        <is>
          <t>Hutang Akrual Operasional Pabrik</t>
        </is>
      </c>
    </row>
    <row r="53" ht="20" customHeight="1">
      <c r="A53" s="11" t="inlineStr">
        <is>
          <t>3151</t>
        </is>
      </c>
      <c r="B53" s="12" t="inlineStr">
        <is>
          <t>Hutang Gaji &amp; Upah Karyawan</t>
        </is>
      </c>
      <c r="C53" s="13" t="inlineStr">
        <is>
          <t>Liability</t>
        </is>
      </c>
      <c r="D53" s="13" t="n">
        <v>0</v>
      </c>
      <c r="E53" s="14" t="inlineStr">
        <is>
          <t>3150 - Beban Akrual / Yang Masih Harus Dibayar</t>
        </is>
      </c>
      <c r="F53" s="13" t="inlineStr"/>
      <c r="G53" s="13" t="inlineStr">
        <is>
          <t>IDR</t>
        </is>
      </c>
      <c r="H53" s="12" t="inlineStr">
        <is>
          <t>Akrual gaji bulanan &amp; upah borongan jahit belum dibayar</t>
        </is>
      </c>
    </row>
    <row r="54" ht="20" customHeight="1">
      <c r="A54" s="7" t="inlineStr">
        <is>
          <t>3152</t>
        </is>
      </c>
      <c r="B54" s="8" t="inlineStr">
        <is>
          <t>Hutang Listrik, Air &amp; Telepon Pabrik</t>
        </is>
      </c>
      <c r="C54" s="9" t="inlineStr">
        <is>
          <t>Liability</t>
        </is>
      </c>
      <c r="D54" s="9" t="n">
        <v>0</v>
      </c>
      <c r="E54" s="10" t="inlineStr">
        <is>
          <t>3150 - Beban Akrual / Yang Masih Harus Dibayar</t>
        </is>
      </c>
      <c r="F54" s="9" t="inlineStr"/>
      <c r="G54" s="9" t="inlineStr">
        <is>
          <t>IDR</t>
        </is>
      </c>
      <c r="H54" s="8" t="inlineStr">
        <is>
          <t>Akrual tagihan PLN industri &amp; utilitas pabrik</t>
        </is>
      </c>
    </row>
    <row r="55" ht="20" customHeight="1">
      <c r="A55" s="11" t="inlineStr">
        <is>
          <t>3153</t>
        </is>
      </c>
      <c r="B55" s="12" t="inlineStr">
        <is>
          <t>Hutang Jasa Subkon / Maklon Garment</t>
        </is>
      </c>
      <c r="C55" s="13" t="inlineStr">
        <is>
          <t>Liability</t>
        </is>
      </c>
      <c r="D55" s="13" t="n">
        <v>0</v>
      </c>
      <c r="E55" s="14" t="inlineStr">
        <is>
          <t>3150 - Beban Akrual / Yang Masih Harus Dibayar</t>
        </is>
      </c>
      <c r="F55" s="13" t="inlineStr"/>
      <c r="G55" s="13" t="inlineStr">
        <is>
          <t>IDR</t>
        </is>
      </c>
      <c r="H55" s="12" t="inlineStr">
        <is>
          <t>Akrual tagihan dari supplier maklon (Subcontracting)</t>
        </is>
      </c>
    </row>
    <row r="56" ht="20" customHeight="1">
      <c r="A56" s="4" t="inlineStr">
        <is>
          <t>3200</t>
        </is>
      </c>
      <c r="B56" s="5" t="inlineStr">
        <is>
          <t>Kewajiban Jangka Panjang</t>
        </is>
      </c>
      <c r="C56" s="6" t="inlineStr">
        <is>
          <t>Liability</t>
        </is>
      </c>
      <c r="D56" s="6" t="n">
        <v>1</v>
      </c>
      <c r="E56" s="5" t="inlineStr">
        <is>
          <t>3000 - Kewajiban</t>
        </is>
      </c>
      <c r="F56" s="6" t="inlineStr"/>
      <c r="G56" s="6" t="inlineStr">
        <is>
          <t>IDR</t>
        </is>
      </c>
      <c r="H56" s="5" t="inlineStr">
        <is>
          <t>Hutang Jangka Panjang (&gt;1 Tahun)</t>
        </is>
      </c>
    </row>
    <row r="57" ht="20" customHeight="1">
      <c r="A57" s="11" t="inlineStr">
        <is>
          <t>3210</t>
        </is>
      </c>
      <c r="B57" s="12" t="inlineStr">
        <is>
          <t>Hutang Bank Jangka Panjang</t>
        </is>
      </c>
      <c r="C57" s="13" t="inlineStr">
        <is>
          <t>Liability</t>
        </is>
      </c>
      <c r="D57" s="13" t="n">
        <v>0</v>
      </c>
      <c r="E57" s="14" t="inlineStr">
        <is>
          <t>3200 - Kewajiban Jangka Panjang</t>
        </is>
      </c>
      <c r="F57" s="13" t="inlineStr"/>
      <c r="G57" s="13" t="inlineStr">
        <is>
          <t>IDR</t>
        </is>
      </c>
      <c r="H57" s="12" t="inlineStr">
        <is>
          <t>Pinjaman investasi/modal kerja bank jangka panjang</t>
        </is>
      </c>
    </row>
    <row r="58" ht="20" customHeight="1">
      <c r="A58" s="7" t="inlineStr">
        <is>
          <t>3220</t>
        </is>
      </c>
      <c r="B58" s="8" t="inlineStr">
        <is>
          <t>Hutang Leasing Mesin Produksi</t>
        </is>
      </c>
      <c r="C58" s="9" t="inlineStr">
        <is>
          <t>Liability</t>
        </is>
      </c>
      <c r="D58" s="9" t="n">
        <v>0</v>
      </c>
      <c r="E58" s="10" t="inlineStr">
        <is>
          <t>3200 - Kewajiban Jangka Panjang</t>
        </is>
      </c>
      <c r="F58" s="9" t="inlineStr"/>
      <c r="G58" s="9" t="inlineStr">
        <is>
          <t>IDR</t>
        </is>
      </c>
      <c r="H58" s="8" t="inlineStr">
        <is>
          <t>Hutang pembiayaan leasing mesin jahit &amp; cutting</t>
        </is>
      </c>
    </row>
    <row r="59" ht="20" customHeight="1">
      <c r="A59" s="4" t="inlineStr">
        <is>
          <t>4000</t>
        </is>
      </c>
      <c r="B59" s="5" t="inlineStr">
        <is>
          <t>Ekuitas</t>
        </is>
      </c>
      <c r="C59" s="6" t="inlineStr">
        <is>
          <t>Equity</t>
        </is>
      </c>
      <c r="D59" s="6" t="n">
        <v>1</v>
      </c>
      <c r="E59" s="5" t="inlineStr"/>
      <c r="F59" s="6" t="inlineStr"/>
      <c r="G59" s="6" t="inlineStr">
        <is>
          <t>IDR</t>
        </is>
      </c>
      <c r="H59" s="5" t="inlineStr">
        <is>
          <t>Root utama kelompok Ekuitas/Modal</t>
        </is>
      </c>
    </row>
    <row r="60" ht="20" customHeight="1">
      <c r="A60" s="7" t="inlineStr">
        <is>
          <t>4100</t>
        </is>
      </c>
      <c r="B60" s="8" t="inlineStr">
        <is>
          <t>Modal Disetor / Saham</t>
        </is>
      </c>
      <c r="C60" s="9" t="inlineStr">
        <is>
          <t>Equity</t>
        </is>
      </c>
      <c r="D60" s="9" t="n">
        <v>0</v>
      </c>
      <c r="E60" s="10" t="inlineStr">
        <is>
          <t>4000 - Ekuitas</t>
        </is>
      </c>
      <c r="F60" s="9" t="inlineStr"/>
      <c r="G60" s="9" t="inlineStr">
        <is>
          <t>IDR</t>
        </is>
      </c>
      <c r="H60" s="8" t="inlineStr">
        <is>
          <t>Setoran modal awal pemilik/pemegang saham</t>
        </is>
      </c>
    </row>
    <row r="61" ht="20" customHeight="1">
      <c r="A61" s="11" t="inlineStr">
        <is>
          <t>4200</t>
        </is>
      </c>
      <c r="B61" s="12" t="inlineStr">
        <is>
          <t>Laba Ditahan (Retained Earnings)</t>
        </is>
      </c>
      <c r="C61" s="13" t="inlineStr">
        <is>
          <t>Equity</t>
        </is>
      </c>
      <c r="D61" s="13" t="n">
        <v>0</v>
      </c>
      <c r="E61" s="14" t="inlineStr">
        <is>
          <t>4000 - Ekuitas</t>
        </is>
      </c>
      <c r="F61" s="13" t="inlineStr">
        <is>
          <t>Rounding</t>
        </is>
      </c>
      <c r="G61" s="13" t="inlineStr">
        <is>
          <t>IDR</t>
        </is>
      </c>
      <c r="H61" s="12" t="inlineStr">
        <is>
          <t>Akumulasi laba rugi tahun-tahun sebelumnya</t>
        </is>
      </c>
    </row>
    <row r="62" ht="20" customHeight="1">
      <c r="A62" s="7" t="inlineStr">
        <is>
          <t>4300</t>
        </is>
      </c>
      <c r="B62" s="8" t="inlineStr">
        <is>
          <t>Laba / Rugi Tahun Berjalan</t>
        </is>
      </c>
      <c r="C62" s="9" t="inlineStr">
        <is>
          <t>Equity</t>
        </is>
      </c>
      <c r="D62" s="9" t="n">
        <v>0</v>
      </c>
      <c r="E62" s="10" t="inlineStr">
        <is>
          <t>4000 - Ekuitas</t>
        </is>
      </c>
      <c r="F62" s="9" t="inlineStr"/>
      <c r="G62" s="9" t="inlineStr">
        <is>
          <t>IDR</t>
        </is>
      </c>
      <c r="H62" s="8" t="inlineStr">
        <is>
          <t>Laba bersih periode berjalan yang belum ditutup</t>
        </is>
      </c>
    </row>
    <row r="63" ht="20" customHeight="1">
      <c r="A63" s="11" t="inlineStr">
        <is>
          <t>4400</t>
        </is>
      </c>
      <c r="B63" s="12" t="inlineStr">
        <is>
          <t>Prive / Dividen Pemilik</t>
        </is>
      </c>
      <c r="C63" s="13" t="inlineStr">
        <is>
          <t>Equity</t>
        </is>
      </c>
      <c r="D63" s="13" t="n">
        <v>0</v>
      </c>
      <c r="E63" s="14" t="inlineStr">
        <is>
          <t>4000 - Ekuitas</t>
        </is>
      </c>
      <c r="F63" s="13" t="inlineStr"/>
      <c r="G63" s="13" t="inlineStr">
        <is>
          <t>IDR</t>
        </is>
      </c>
      <c r="H63" s="12" t="inlineStr">
        <is>
          <t>Pengambilan dana / pembagian dividen pemilik</t>
        </is>
      </c>
    </row>
    <row r="64" ht="20" customHeight="1">
      <c r="A64" s="4" t="inlineStr">
        <is>
          <t>5000</t>
        </is>
      </c>
      <c r="B64" s="5" t="inlineStr">
        <is>
          <t>Pendapatan</t>
        </is>
      </c>
      <c r="C64" s="6" t="inlineStr">
        <is>
          <t>Income</t>
        </is>
      </c>
      <c r="D64" s="6" t="n">
        <v>1</v>
      </c>
      <c r="E64" s="5" t="inlineStr"/>
      <c r="F64" s="6" t="inlineStr"/>
      <c r="G64" s="6" t="inlineStr">
        <is>
          <t>IDR</t>
        </is>
      </c>
      <c r="H64" s="5" t="inlineStr">
        <is>
          <t>Root utama kelompok Pendapatan/Penjualan</t>
        </is>
      </c>
    </row>
    <row r="65" ht="20" customHeight="1">
      <c r="A65" s="4" t="inlineStr">
        <is>
          <t>5100</t>
        </is>
      </c>
      <c r="B65" s="5" t="inlineStr">
        <is>
          <t>Pendapatan Penjualan Garment</t>
        </is>
      </c>
      <c r="C65" s="6" t="inlineStr">
        <is>
          <t>Income</t>
        </is>
      </c>
      <c r="D65" s="6" t="n">
        <v>1</v>
      </c>
      <c r="E65" s="5" t="inlineStr">
        <is>
          <t>5000 - Pendapatan</t>
        </is>
      </c>
      <c r="F65" s="6" t="inlineStr">
        <is>
          <t>Income Account</t>
        </is>
      </c>
      <c r="G65" s="6" t="inlineStr">
        <is>
          <t>IDR</t>
        </is>
      </c>
      <c r="H65" s="5" t="inlineStr">
        <is>
          <t>Kelompok Penjualan Produk</t>
        </is>
      </c>
    </row>
    <row r="66" ht="20" customHeight="1">
      <c r="A66" s="7" t="inlineStr">
        <is>
          <t>5110</t>
        </is>
      </c>
      <c r="B66" s="8" t="inlineStr">
        <is>
          <t>Penjualan Garment Lokal / Domestik</t>
        </is>
      </c>
      <c r="C66" s="9" t="inlineStr">
        <is>
          <t>Income</t>
        </is>
      </c>
      <c r="D66" s="9" t="n">
        <v>0</v>
      </c>
      <c r="E66" s="10" t="inlineStr">
        <is>
          <t>5100 - Pendapatan Penjualan Garment</t>
        </is>
      </c>
      <c r="F66" s="9" t="inlineStr">
        <is>
          <t>Income Account</t>
        </is>
      </c>
      <c r="G66" s="9" t="inlineStr">
        <is>
          <t>IDR</t>
        </is>
      </c>
      <c r="H66" s="8" t="inlineStr">
        <is>
          <t>Penjualan Gamis, Hijab, Busana ke pelanggan lokal</t>
        </is>
      </c>
    </row>
    <row r="67" ht="20" customHeight="1">
      <c r="A67" s="11" t="inlineStr">
        <is>
          <t>5120</t>
        </is>
      </c>
      <c r="B67" s="12" t="inlineStr">
        <is>
          <t>Penjualan Garment Ekspor</t>
        </is>
      </c>
      <c r="C67" s="13" t="inlineStr">
        <is>
          <t>Income</t>
        </is>
      </c>
      <c r="D67" s="13" t="n">
        <v>0</v>
      </c>
      <c r="E67" s="14" t="inlineStr">
        <is>
          <t>5100 - Pendapatan Penjualan Garment</t>
        </is>
      </c>
      <c r="F67" s="13" t="inlineStr">
        <is>
          <t>Income Account</t>
        </is>
      </c>
      <c r="G67" s="13" t="inlineStr">
        <is>
          <t>IDR</t>
        </is>
      </c>
      <c r="H67" s="12" t="inlineStr">
        <is>
          <t>Penjualan ekspor pakaian jadi dalam mata uang asing</t>
        </is>
      </c>
    </row>
    <row r="68" ht="20" customHeight="1">
      <c r="A68" s="7" t="inlineStr">
        <is>
          <t>5130</t>
        </is>
      </c>
      <c r="B68" s="8" t="inlineStr">
        <is>
          <t>Pendapatan Jasa Maklon / Subkon</t>
        </is>
      </c>
      <c r="C68" s="9" t="inlineStr">
        <is>
          <t>Income</t>
        </is>
      </c>
      <c r="D68" s="9" t="n">
        <v>0</v>
      </c>
      <c r="E68" s="10" t="inlineStr">
        <is>
          <t>5100 - Pendapatan Penjualan Garment</t>
        </is>
      </c>
      <c r="F68" s="9" t="inlineStr">
        <is>
          <t>Income Account</t>
        </is>
      </c>
      <c r="G68" s="9" t="inlineStr">
        <is>
          <t>IDR</t>
        </is>
      </c>
      <c r="H68" s="8" t="inlineStr">
        <is>
          <t>Pendapatan atas jasa jahit/maklon pihak ketiga</t>
        </is>
      </c>
    </row>
    <row r="69" ht="20" customHeight="1">
      <c r="A69" s="4" t="inlineStr">
        <is>
          <t>5200</t>
        </is>
      </c>
      <c r="B69" s="5" t="inlineStr">
        <is>
          <t>Potongan &amp; Retur Penjualan</t>
        </is>
      </c>
      <c r="C69" s="6" t="inlineStr">
        <is>
          <t>Income</t>
        </is>
      </c>
      <c r="D69" s="6" t="n">
        <v>1</v>
      </c>
      <c r="E69" s="5" t="inlineStr">
        <is>
          <t>5000 - Pendapatan</t>
        </is>
      </c>
      <c r="F69" s="6" t="inlineStr">
        <is>
          <t>Income Account</t>
        </is>
      </c>
      <c r="G69" s="6" t="inlineStr">
        <is>
          <t>IDR</t>
        </is>
      </c>
      <c r="H69" s="5" t="inlineStr">
        <is>
          <t>Kontra Akun Penjualan</t>
        </is>
      </c>
    </row>
    <row r="70" ht="20" customHeight="1">
      <c r="A70" s="7" t="inlineStr">
        <is>
          <t>5210</t>
        </is>
      </c>
      <c r="B70" s="8" t="inlineStr">
        <is>
          <t>Diskon &amp; Potongan Penjualan</t>
        </is>
      </c>
      <c r="C70" s="9" t="inlineStr">
        <is>
          <t>Income</t>
        </is>
      </c>
      <c r="D70" s="9" t="n">
        <v>0</v>
      </c>
      <c r="E70" s="10" t="inlineStr">
        <is>
          <t>5200 - Potongan &amp; Retur Penjualan</t>
        </is>
      </c>
      <c r="F70" s="9" t="inlineStr">
        <is>
          <t>Income Account</t>
        </is>
      </c>
      <c r="G70" s="9" t="inlineStr">
        <is>
          <t>IDR</t>
        </is>
      </c>
      <c r="H70" s="8" t="inlineStr">
        <is>
          <t>Diskon kuantitas atau potongan promosi ke pelanggan</t>
        </is>
      </c>
    </row>
    <row r="71" ht="20" customHeight="1">
      <c r="A71" s="11" t="inlineStr">
        <is>
          <t>5220</t>
        </is>
      </c>
      <c r="B71" s="12" t="inlineStr">
        <is>
          <t>Retur Penjualan Garment</t>
        </is>
      </c>
      <c r="C71" s="13" t="inlineStr">
        <is>
          <t>Income</t>
        </is>
      </c>
      <c r="D71" s="13" t="n">
        <v>0</v>
      </c>
      <c r="E71" s="14" t="inlineStr">
        <is>
          <t>5200 - Potongan &amp; Retur Penjualan</t>
        </is>
      </c>
      <c r="F71" s="13" t="inlineStr">
        <is>
          <t>Income Account</t>
        </is>
      </c>
      <c r="G71" s="13" t="inlineStr">
        <is>
          <t>IDR</t>
        </is>
      </c>
      <c r="H71" s="12" t="inlineStr">
        <is>
          <t>Pengembalian produk cacat/tidak sesuai spec dari pelanggan</t>
        </is>
      </c>
    </row>
    <row r="72" ht="20" customHeight="1">
      <c r="A72" s="4" t="inlineStr">
        <is>
          <t>5300</t>
        </is>
      </c>
      <c r="B72" s="5" t="inlineStr">
        <is>
          <t>Pendapatan Diluar Usaha</t>
        </is>
      </c>
      <c r="C72" s="6" t="inlineStr">
        <is>
          <t>Income</t>
        </is>
      </c>
      <c r="D72" s="6" t="n">
        <v>1</v>
      </c>
      <c r="E72" s="5" t="inlineStr">
        <is>
          <t>5000 - Pendapatan</t>
        </is>
      </c>
      <c r="F72" s="6" t="inlineStr">
        <is>
          <t>Income Account</t>
        </is>
      </c>
      <c r="G72" s="6" t="inlineStr">
        <is>
          <t>IDR</t>
        </is>
      </c>
      <c r="H72" s="5" t="inlineStr">
        <is>
          <t>Non-Operating Income</t>
        </is>
      </c>
    </row>
    <row r="73" ht="20" customHeight="1">
      <c r="A73" s="11" t="inlineStr">
        <is>
          <t>5310</t>
        </is>
      </c>
      <c r="B73" s="12" t="inlineStr">
        <is>
          <t>Pendapatan Penjualan Kain Sisa / Scrap</t>
        </is>
      </c>
      <c r="C73" s="13" t="inlineStr">
        <is>
          <t>Income</t>
        </is>
      </c>
      <c r="D73" s="13" t="n">
        <v>0</v>
      </c>
      <c r="E73" s="14" t="inlineStr">
        <is>
          <t>5300 - Pendapatan Diluar Usaha</t>
        </is>
      </c>
      <c r="F73" s="13" t="inlineStr">
        <is>
          <t>Income Account</t>
        </is>
      </c>
      <c r="G73" s="13" t="inlineStr">
        <is>
          <t>IDR</t>
        </is>
      </c>
      <c r="H73" s="12" t="inlineStr">
        <is>
          <t>Penjualan limbah kain perca / sisa cutting ke pengepul</t>
        </is>
      </c>
    </row>
    <row r="74" ht="20" customHeight="1">
      <c r="A74" s="7" t="inlineStr">
        <is>
          <t>5320</t>
        </is>
      </c>
      <c r="B74" s="8" t="inlineStr">
        <is>
          <t>Pendapatan Bunga Bank</t>
        </is>
      </c>
      <c r="C74" s="9" t="inlineStr">
        <is>
          <t>Income</t>
        </is>
      </c>
      <c r="D74" s="9" t="n">
        <v>0</v>
      </c>
      <c r="E74" s="10" t="inlineStr">
        <is>
          <t>5300 - Pendapatan Diluar Usaha</t>
        </is>
      </c>
      <c r="F74" s="9" t="inlineStr"/>
      <c r="G74" s="9" t="inlineStr">
        <is>
          <t>IDR</t>
        </is>
      </c>
      <c r="H74" s="8" t="inlineStr">
        <is>
          <t>Pendapatan jasa giro &amp; bunga deposito bank</t>
        </is>
      </c>
    </row>
    <row r="75" ht="20" customHeight="1">
      <c r="A75" s="11" t="inlineStr">
        <is>
          <t>5330</t>
        </is>
      </c>
      <c r="B75" s="12" t="inlineStr">
        <is>
          <t>Keuntungan Selisih Kurs Realisasi</t>
        </is>
      </c>
      <c r="C75" s="13" t="inlineStr">
        <is>
          <t>Income</t>
        </is>
      </c>
      <c r="D75" s="13" t="n">
        <v>0</v>
      </c>
      <c r="E75" s="14" t="inlineStr">
        <is>
          <t>5300 - Pendapatan Diluar Usaha</t>
        </is>
      </c>
      <c r="F75" s="13" t="inlineStr">
        <is>
          <t>Exchange Gain/Loss</t>
        </is>
      </c>
      <c r="G75" s="13" t="inlineStr">
        <is>
          <t>IDR</t>
        </is>
      </c>
      <c r="H75" s="12" t="inlineStr">
        <is>
          <t>Laba selisih kurs transaksi valas ekspor/impor</t>
        </is>
      </c>
    </row>
    <row r="76" ht="20" customHeight="1">
      <c r="A76" s="4" t="inlineStr">
        <is>
          <t>6000</t>
        </is>
      </c>
      <c r="B76" s="5" t="inlineStr">
        <is>
          <t>Beban Operasional &amp; Produksi</t>
        </is>
      </c>
      <c r="C76" s="6" t="inlineStr">
        <is>
          <t>Expense</t>
        </is>
      </c>
      <c r="D76" s="6" t="n">
        <v>1</v>
      </c>
      <c r="E76" s="5" t="inlineStr"/>
      <c r="F76" s="6" t="inlineStr"/>
      <c r="G76" s="6" t="inlineStr">
        <is>
          <t>IDR</t>
        </is>
      </c>
      <c r="H76" s="5" t="inlineStr">
        <is>
          <t>Root utama kelompok Beban &amp; HPP</t>
        </is>
      </c>
    </row>
    <row r="77" ht="20" customHeight="1">
      <c r="A77" s="4" t="inlineStr">
        <is>
          <t>6100</t>
        </is>
      </c>
      <c r="B77" s="5" t="inlineStr">
        <is>
          <t>Harga Pokok Penjualan (HPP / COGS)</t>
        </is>
      </c>
      <c r="C77" s="6" t="inlineStr">
        <is>
          <t>Expense</t>
        </is>
      </c>
      <c r="D77" s="6" t="n">
        <v>1</v>
      </c>
      <c r="E77" s="5" t="inlineStr">
        <is>
          <t>6000 - Beban Operasional &amp; Produksi</t>
        </is>
      </c>
      <c r="F77" s="6" t="inlineStr">
        <is>
          <t>Cost of Goods Sold</t>
        </is>
      </c>
      <c r="G77" s="6" t="inlineStr">
        <is>
          <t>IDR</t>
        </is>
      </c>
      <c r="H77" s="5" t="inlineStr">
        <is>
          <t>Kelompok HPP Utama</t>
        </is>
      </c>
    </row>
    <row r="78" ht="20" customHeight="1">
      <c r="A78" s="7" t="inlineStr">
        <is>
          <t>6110</t>
        </is>
      </c>
      <c r="B78" s="8" t="inlineStr">
        <is>
          <t>HPP Bahan Baku &amp; Aksesoris</t>
        </is>
      </c>
      <c r="C78" s="9" t="inlineStr">
        <is>
          <t>Expense</t>
        </is>
      </c>
      <c r="D78" s="9" t="n">
        <v>0</v>
      </c>
      <c r="E78" s="10" t="inlineStr">
        <is>
          <t>6100 - Harga Pokok Penjualan (HPP / COGS)</t>
        </is>
      </c>
      <c r="F78" s="9" t="inlineStr">
        <is>
          <t>Cost of Goods Sold</t>
        </is>
      </c>
      <c r="G78" s="9" t="inlineStr">
        <is>
          <t>IDR</t>
        </is>
      </c>
      <c r="H78" s="8" t="inlineStr">
        <is>
          <t>Pelepasan nilai bahan saat barang jadi diserahterimakan (Delivery Note)</t>
        </is>
      </c>
    </row>
    <row r="79" ht="20" customHeight="1">
      <c r="A79" s="11" t="inlineStr">
        <is>
          <t>6120</t>
        </is>
      </c>
      <c r="B79" s="12" t="inlineStr">
        <is>
          <t>HPP Tenaga Kerja Langsung</t>
        </is>
      </c>
      <c r="C79" s="13" t="inlineStr">
        <is>
          <t>Expense</t>
        </is>
      </c>
      <c r="D79" s="13" t="n">
        <v>0</v>
      </c>
      <c r="E79" s="14" t="inlineStr">
        <is>
          <t>6100 - Harga Pokok Penjualan (HPP / COGS)</t>
        </is>
      </c>
      <c r="F79" s="13" t="inlineStr">
        <is>
          <t>Cost of Goods Sold</t>
        </is>
      </c>
      <c r="G79" s="13" t="inlineStr">
        <is>
          <t>IDR</t>
        </is>
      </c>
      <c r="H79" s="12" t="inlineStr">
        <is>
          <t>Porsi biaya upah jahit langsung yang melekat pada barang terjual</t>
        </is>
      </c>
    </row>
    <row r="80" ht="20" customHeight="1">
      <c r="A80" s="7" t="inlineStr">
        <is>
          <t>6130</t>
        </is>
      </c>
      <c r="B80" s="8" t="inlineStr">
        <is>
          <t>HPP Overhead Pabrik Diterapkan</t>
        </is>
      </c>
      <c r="C80" s="9" t="inlineStr">
        <is>
          <t>Expense</t>
        </is>
      </c>
      <c r="D80" s="9" t="n">
        <v>0</v>
      </c>
      <c r="E80" s="10" t="inlineStr">
        <is>
          <t>6100 - Harga Pokok Penjualan (HPP / COGS)</t>
        </is>
      </c>
      <c r="F80" s="9" t="inlineStr">
        <is>
          <t>Cost of Goods Sold</t>
        </is>
      </c>
      <c r="G80" s="9" t="inlineStr">
        <is>
          <t>IDR</t>
        </is>
      </c>
      <c r="H80" s="8" t="inlineStr">
        <is>
          <t>Porsi overhead pabrik yang dialokasikan ke produk terjual</t>
        </is>
      </c>
    </row>
    <row r="81" ht="20" customHeight="1">
      <c r="A81" s="4" t="inlineStr">
        <is>
          <t>6200</t>
        </is>
      </c>
      <c r="B81" s="5" t="inlineStr">
        <is>
          <t>Beban Penyesuaian &amp; Selisih Stok</t>
        </is>
      </c>
      <c r="C81" s="6" t="inlineStr">
        <is>
          <t>Expense</t>
        </is>
      </c>
      <c r="D81" s="6" t="n">
        <v>1</v>
      </c>
      <c r="E81" s="5" t="inlineStr">
        <is>
          <t>6000 - Beban Operasional &amp; Produksi</t>
        </is>
      </c>
      <c r="F81" s="6" t="inlineStr">
        <is>
          <t>Stock Adjustment</t>
        </is>
      </c>
      <c r="G81" s="6" t="inlineStr">
        <is>
          <t>IDR</t>
        </is>
      </c>
      <c r="H81" s="5" t="inlineStr">
        <is>
          <t>Grup Akun Varians &amp; Stock Entry ERPNext</t>
        </is>
      </c>
    </row>
    <row r="82" ht="20" customHeight="1">
      <c r="A82" s="7" t="inlineStr">
        <is>
          <t>6210</t>
        </is>
      </c>
      <c r="B82" s="8" t="inlineStr">
        <is>
          <t>Beban Penyesuaian Stok (Stock Adjustment)</t>
        </is>
      </c>
      <c r="C82" s="9" t="inlineStr">
        <is>
          <t>Expense</t>
        </is>
      </c>
      <c r="D82" s="9" t="n">
        <v>0</v>
      </c>
      <c r="E82" s="10" t="inlineStr">
        <is>
          <t>6200 - Beban Penyesuaian &amp; Selisih Stok</t>
        </is>
      </c>
      <c r="F82" s="9" t="inlineStr">
        <is>
          <t>Stock Adjustment</t>
        </is>
      </c>
      <c r="G82" s="9" t="inlineStr">
        <is>
          <t>IDR</t>
        </is>
      </c>
      <c r="H82" s="8" t="inlineStr">
        <is>
          <t>Stock Adjustment: Digunakan saat Stock Reconciliation/Stock Entry (Selisih Opnam/Rusak)</t>
        </is>
      </c>
    </row>
    <row r="83" ht="20" customHeight="1">
      <c r="A83" s="11" t="inlineStr">
        <is>
          <t>6220</t>
        </is>
      </c>
      <c r="B83" s="12" t="inlineStr">
        <is>
          <t>Selisih Harga Pembelian (Purchase Price Variance)</t>
        </is>
      </c>
      <c r="C83" s="13" t="inlineStr">
        <is>
          <t>Expense</t>
        </is>
      </c>
      <c r="D83" s="13" t="n">
        <v>0</v>
      </c>
      <c r="E83" s="14" t="inlineStr">
        <is>
          <t>6200 - Beban Penyesuaian &amp; Selisih Stok</t>
        </is>
      </c>
      <c r="F83" s="13" t="inlineStr">
        <is>
          <t>Stock Adjustment</t>
        </is>
      </c>
      <c r="G83" s="13" t="inlineStr">
        <is>
          <t>IDR</t>
        </is>
      </c>
      <c r="H83" s="12" t="inlineStr">
        <is>
          <t>Varians harga beli aktual vs valuation rate standar bahan baku</t>
        </is>
      </c>
    </row>
    <row r="84" ht="20" customHeight="1">
      <c r="A84" s="7" t="inlineStr">
        <is>
          <t>6230</t>
        </is>
      </c>
      <c r="B84" s="8" t="inlineStr">
        <is>
          <t>Selisih Hasil Produksi / Scrap Loss</t>
        </is>
      </c>
      <c r="C84" s="9" t="inlineStr">
        <is>
          <t>Expense</t>
        </is>
      </c>
      <c r="D84" s="9" t="n">
        <v>0</v>
      </c>
      <c r="E84" s="10" t="inlineStr">
        <is>
          <t>6200 - Beban Penyesuaian &amp; Selisih Stok</t>
        </is>
      </c>
      <c r="F84" s="9" t="inlineStr">
        <is>
          <t>Stock Adjustment</t>
        </is>
      </c>
      <c r="G84" s="9" t="inlineStr">
        <is>
          <t>IDR</t>
        </is>
      </c>
      <c r="H84" s="8" t="inlineStr">
        <is>
          <t>Varians penggunaan bahan melampaui BOM standar</t>
        </is>
      </c>
    </row>
    <row r="85" ht="20" customHeight="1">
      <c r="A85" s="4" t="inlineStr">
        <is>
          <t>6300</t>
        </is>
      </c>
      <c r="B85" s="5" t="inlineStr">
        <is>
          <t>Biaya Masuk Penilaian Stok (Inward Valuation)</t>
        </is>
      </c>
      <c r="C85" s="6" t="inlineStr">
        <is>
          <t>Expense</t>
        </is>
      </c>
      <c r="D85" s="6" t="n">
        <v>1</v>
      </c>
      <c r="E85" s="5" t="inlineStr">
        <is>
          <t>6000 - Beban Operasional &amp; Produksi</t>
        </is>
      </c>
      <c r="F85" s="6" t="inlineStr">
        <is>
          <t>Expenses Included In Valuation</t>
        </is>
      </c>
      <c r="G85" s="6" t="inlineStr">
        <is>
          <t>IDR</t>
        </is>
      </c>
      <c r="H85" s="5" t="inlineStr">
        <is>
          <t>Grup Biaya Kapitalisasi Stok Landed Cost</t>
        </is>
      </c>
    </row>
    <row r="86" ht="20" customHeight="1">
      <c r="A86" s="7" t="inlineStr">
        <is>
          <t>6310</t>
        </is>
      </c>
      <c r="B86" s="8" t="inlineStr">
        <is>
          <t>Biaya Angkut Pembelian Bahan (Inward Freight)</t>
        </is>
      </c>
      <c r="C86" s="9" t="inlineStr">
        <is>
          <t>Expense</t>
        </is>
      </c>
      <c r="D86" s="9" t="n">
        <v>0</v>
      </c>
      <c r="E86" s="10" t="inlineStr">
        <is>
          <t>6300 - Biaya Masuk Penilaian Stok (Inward Valuation)</t>
        </is>
      </c>
      <c r="F86" s="9" t="inlineStr">
        <is>
          <t>Expenses Included In Valuation</t>
        </is>
      </c>
      <c r="G86" s="9" t="inlineStr">
        <is>
          <t>IDR</t>
        </is>
      </c>
      <c r="H86" s="8" t="inlineStr">
        <is>
          <t>Landed Cost Voucher: Biaya ekspedisi pengiriman bahan baku dikapitalisasi ke nilai persediaan</t>
        </is>
      </c>
    </row>
    <row r="87" ht="20" customHeight="1">
      <c r="A87" s="11" t="inlineStr">
        <is>
          <t>6320</t>
        </is>
      </c>
      <c r="B87" s="12" t="inlineStr">
        <is>
          <t>Biaya Bea Masuk &amp; Impor Bahan Baku</t>
        </is>
      </c>
      <c r="C87" s="13" t="inlineStr">
        <is>
          <t>Expense</t>
        </is>
      </c>
      <c r="D87" s="13" t="n">
        <v>0</v>
      </c>
      <c r="E87" s="14" t="inlineStr">
        <is>
          <t>6300 - Biaya Masuk Penilaian Stok (Inward Valuation)</t>
        </is>
      </c>
      <c r="F87" s="13" t="inlineStr">
        <is>
          <t>Expenses Included In Valuation</t>
        </is>
      </c>
      <c r="G87" s="13" t="inlineStr">
        <is>
          <t>IDR</t>
        </is>
      </c>
      <c r="H87" s="12" t="inlineStr">
        <is>
          <t>Bea masuk &amp; biaya cukai impor kain dikapitalisasi ke stok bahan</t>
        </is>
      </c>
    </row>
    <row r="88" ht="20" customHeight="1">
      <c r="A88" s="4" t="inlineStr">
        <is>
          <t>7000</t>
        </is>
      </c>
      <c r="B88" s="5" t="inlineStr">
        <is>
          <t>Beban Overhead Pabrik (Factory Overhead)</t>
        </is>
      </c>
      <c r="C88" s="6" t="inlineStr">
        <is>
          <t>Expense</t>
        </is>
      </c>
      <c r="D88" s="6" t="n">
        <v>1</v>
      </c>
      <c r="E88" s="5" t="inlineStr">
        <is>
          <t>6000 - Beban Operasional &amp; Produksi</t>
        </is>
      </c>
      <c r="F88" s="6" t="inlineStr"/>
      <c r="G88" s="6" t="inlineStr">
        <is>
          <t>IDR</t>
        </is>
      </c>
      <c r="H88" s="5" t="inlineStr">
        <is>
          <t>Biaya Produksi Tidak Langsung Pabrik</t>
        </is>
      </c>
    </row>
    <row r="89" ht="20" customHeight="1">
      <c r="A89" s="11" t="inlineStr">
        <is>
          <t>7110</t>
        </is>
      </c>
      <c r="B89" s="12" t="inlineStr">
        <is>
          <t>Upah Tenaga Kerja Langsung (Direct Labor Cost)</t>
        </is>
      </c>
      <c r="C89" s="13" t="inlineStr">
        <is>
          <t>Expense</t>
        </is>
      </c>
      <c r="D89" s="13" t="n">
        <v>0</v>
      </c>
      <c r="E89" s="14" t="inlineStr">
        <is>
          <t>7000 - Beban Overhead Pabrik (Factory Overhead)</t>
        </is>
      </c>
      <c r="F89" s="13" t="inlineStr"/>
      <c r="G89" s="13" t="inlineStr">
        <is>
          <t>IDR</t>
        </is>
      </c>
      <c r="H89" s="12" t="inlineStr">
        <is>
          <t>Gaji &amp; upah borongan operator cutting, sewing, finishing</t>
        </is>
      </c>
    </row>
    <row r="90" ht="20" customHeight="1">
      <c r="A90" s="7" t="inlineStr">
        <is>
          <t>7120</t>
        </is>
      </c>
      <c r="B90" s="8" t="inlineStr">
        <is>
          <t>Gaji Supervisor &amp; Mandor Pabrik</t>
        </is>
      </c>
      <c r="C90" s="9" t="inlineStr">
        <is>
          <t>Expense</t>
        </is>
      </c>
      <c r="D90" s="9" t="n">
        <v>0</v>
      </c>
      <c r="E90" s="10" t="inlineStr">
        <is>
          <t>7000 - Beban Overhead Pabrik (Factory Overhead)</t>
        </is>
      </c>
      <c r="F90" s="9" t="inlineStr"/>
      <c r="G90" s="9" t="inlineStr">
        <is>
          <t>IDR</t>
        </is>
      </c>
      <c r="H90" s="8" t="inlineStr">
        <is>
          <t>Gaji kepala produksi, supervisor QC, &amp; manajer pabrik</t>
        </is>
      </c>
    </row>
    <row r="91" ht="20" customHeight="1">
      <c r="A91" s="11" t="inlineStr">
        <is>
          <t>7210</t>
        </is>
      </c>
      <c r="B91" s="12" t="inlineStr">
        <is>
          <t>Listrik PLN Industri &amp; Bahan Bakar Pabrik</t>
        </is>
      </c>
      <c r="C91" s="13" t="inlineStr">
        <is>
          <t>Expense</t>
        </is>
      </c>
      <c r="D91" s="13" t="n">
        <v>0</v>
      </c>
      <c r="E91" s="14" t="inlineStr">
        <is>
          <t>7000 - Beban Overhead Pabrik (Factory Overhead)</t>
        </is>
      </c>
      <c r="F91" s="13" t="inlineStr"/>
      <c r="G91" s="13" t="inlineStr">
        <is>
          <t>IDR</t>
        </is>
      </c>
      <c r="H91" s="12" t="inlineStr">
        <is>
          <t>Tagihan daya listrik PLN pabrik &amp; solar mesin steam boiler</t>
        </is>
      </c>
    </row>
    <row r="92" ht="20" customHeight="1">
      <c r="A92" s="7" t="inlineStr">
        <is>
          <t>7220</t>
        </is>
      </c>
      <c r="B92" s="8" t="inlineStr">
        <is>
          <t>Penyusutan Mesin Produksi &amp; Peralatan</t>
        </is>
      </c>
      <c r="C92" s="9" t="inlineStr">
        <is>
          <t>Expense</t>
        </is>
      </c>
      <c r="D92" s="9" t="n">
        <v>0</v>
      </c>
      <c r="E92" s="10" t="inlineStr">
        <is>
          <t>7000 - Beban Overhead Pabrik (Factory Overhead)</t>
        </is>
      </c>
      <c r="F92" s="9" t="inlineStr">
        <is>
          <t>Depreciation</t>
        </is>
      </c>
      <c r="G92" s="9" t="inlineStr">
        <is>
          <t>IDR</t>
        </is>
      </c>
      <c r="H92" s="8" t="inlineStr">
        <is>
          <t>Beban depresiasi bulanan mesin jahit, cutting, &amp; finishing</t>
        </is>
      </c>
    </row>
    <row r="93" ht="20" customHeight="1">
      <c r="A93" s="11" t="inlineStr">
        <is>
          <t>7230</t>
        </is>
      </c>
      <c r="B93" s="12" t="inlineStr">
        <is>
          <t>Penyusutan Bangunan Gedung Pabrik</t>
        </is>
      </c>
      <c r="C93" s="13" t="inlineStr">
        <is>
          <t>Expense</t>
        </is>
      </c>
      <c r="D93" s="13" t="n">
        <v>0</v>
      </c>
      <c r="E93" s="14" t="inlineStr">
        <is>
          <t>7000 - Beban Overhead Pabrik (Factory Overhead)</t>
        </is>
      </c>
      <c r="F93" s="13" t="inlineStr">
        <is>
          <t>Depreciation</t>
        </is>
      </c>
      <c r="G93" s="13" t="inlineStr">
        <is>
          <t>IDR</t>
        </is>
      </c>
      <c r="H93" s="12" t="inlineStr">
        <is>
          <t>Beban depresiasi bulanan gedung &amp; fasilitas lantai pabrik</t>
        </is>
      </c>
    </row>
    <row r="94" ht="20" customHeight="1">
      <c r="A94" s="7" t="inlineStr">
        <is>
          <t>7240</t>
        </is>
      </c>
      <c r="B94" s="8" t="inlineStr">
        <is>
          <t>Pemeliharaan &amp; Perbaikan Mesin Pabrik</t>
        </is>
      </c>
      <c r="C94" s="9" t="inlineStr">
        <is>
          <t>Expense</t>
        </is>
      </c>
      <c r="D94" s="9" t="n">
        <v>0</v>
      </c>
      <c r="E94" s="10" t="inlineStr">
        <is>
          <t>7000 - Beban Overhead Pabrik (Factory Overhead)</t>
        </is>
      </c>
      <c r="F94" s="9" t="inlineStr"/>
      <c r="G94" s="9" t="inlineStr">
        <is>
          <t>IDR</t>
        </is>
      </c>
      <c r="H94" s="8" t="inlineStr">
        <is>
          <t>Sparepart mesin jahit, jarum, oli mesin, &amp; perbaikan berkala</t>
        </is>
      </c>
    </row>
    <row r="95" ht="20" customHeight="1">
      <c r="A95" s="11" t="inlineStr">
        <is>
          <t>7250</t>
        </is>
      </c>
      <c r="B95" s="12" t="inlineStr">
        <is>
          <t>Perlengkapan Produksi &amp; K3 Pabrik</t>
        </is>
      </c>
      <c r="C95" s="13" t="inlineStr">
        <is>
          <t>Expense</t>
        </is>
      </c>
      <c r="D95" s="13" t="n">
        <v>0</v>
      </c>
      <c r="E95" s="14" t="inlineStr">
        <is>
          <t>7000 - Beban Overhead Pabrik (Factory Overhead)</t>
        </is>
      </c>
      <c r="F95" s="13" t="inlineStr"/>
      <c r="G95" s="13" t="inlineStr">
        <is>
          <t>IDR</t>
        </is>
      </c>
      <c r="H95" s="12" t="inlineStr">
        <is>
          <t>Minyak pembersih noda, masker, sarung tangan, &amp; alat bantu K3</t>
        </is>
      </c>
    </row>
    <row r="96" ht="20" customHeight="1">
      <c r="A96" s="7" t="inlineStr">
        <is>
          <t>7260</t>
        </is>
      </c>
      <c r="B96" s="8" t="inlineStr">
        <is>
          <t>Biaya Maklon / Subkon Luar (Subcontracting)</t>
        </is>
      </c>
      <c r="C96" s="9" t="inlineStr">
        <is>
          <t>Expense</t>
        </is>
      </c>
      <c r="D96" s="9" t="n">
        <v>0</v>
      </c>
      <c r="E96" s="10" t="inlineStr">
        <is>
          <t>7000 - Beban Overhead Pabrik (Factory Overhead)</t>
        </is>
      </c>
      <c r="F96" s="9" t="inlineStr"/>
      <c r="G96" s="9" t="inlineStr">
        <is>
          <t>IDR</t>
        </is>
      </c>
      <c r="H96" s="8" t="inlineStr">
        <is>
          <t>Biaya pengerjaan bordir/sablon/plisket yang disubkontrakkan</t>
        </is>
      </c>
    </row>
    <row r="97" ht="20" customHeight="1">
      <c r="A97" s="4" t="inlineStr">
        <is>
          <t>8000</t>
        </is>
      </c>
      <c r="B97" s="5" t="inlineStr">
        <is>
          <t>Beban Operasional Komersial (OpEx)</t>
        </is>
      </c>
      <c r="C97" s="6" t="inlineStr">
        <is>
          <t>Expense</t>
        </is>
      </c>
      <c r="D97" s="6" t="n">
        <v>1</v>
      </c>
      <c r="E97" s="5" t="inlineStr">
        <is>
          <t>6000 - Beban Operasional &amp; Produksi</t>
        </is>
      </c>
      <c r="F97" s="6" t="inlineStr"/>
      <c r="G97" s="6" t="inlineStr">
        <is>
          <t>IDR</t>
        </is>
      </c>
      <c r="H97" s="5" t="inlineStr">
        <is>
          <t>Beban Penjualan, Umum &amp; Administrasi</t>
        </is>
      </c>
    </row>
    <row r="98" ht="20" customHeight="1">
      <c r="A98" s="4" t="inlineStr">
        <is>
          <t>8100</t>
        </is>
      </c>
      <c r="B98" s="5" t="inlineStr">
        <is>
          <t>Beban Penjualan &amp; Pemasaran</t>
        </is>
      </c>
      <c r="C98" s="6" t="inlineStr">
        <is>
          <t>Expense</t>
        </is>
      </c>
      <c r="D98" s="6" t="n">
        <v>1</v>
      </c>
      <c r="E98" s="5" t="inlineStr">
        <is>
          <t>8000 - Beban Operasional Komersial (OpEx)</t>
        </is>
      </c>
      <c r="F98" s="6" t="inlineStr"/>
      <c r="G98" s="6" t="inlineStr">
        <is>
          <t>IDR</t>
        </is>
      </c>
      <c r="H98" s="5" t="inlineStr">
        <is>
          <t>Selling &amp; Marketing Expenses</t>
        </is>
      </c>
    </row>
    <row r="99" ht="20" customHeight="1">
      <c r="A99" s="11" t="inlineStr">
        <is>
          <t>8110</t>
        </is>
      </c>
      <c r="B99" s="12" t="inlineStr">
        <is>
          <t>Iklan, Promosi &amp; Pameran Busana</t>
        </is>
      </c>
      <c r="C99" s="13" t="inlineStr">
        <is>
          <t>Expense</t>
        </is>
      </c>
      <c r="D99" s="13" t="n">
        <v>0</v>
      </c>
      <c r="E99" s="14" t="inlineStr">
        <is>
          <t>8100 - Beban Penjualan &amp; Pemasaran</t>
        </is>
      </c>
      <c r="F99" s="13" t="inlineStr"/>
      <c r="G99" s="13" t="inlineStr">
        <is>
          <t>IDR</t>
        </is>
      </c>
      <c r="H99" s="12" t="inlineStr">
        <is>
          <t>Iklan media sosial, photoshoot katalog, endorse, &amp; pameran</t>
        </is>
      </c>
    </row>
    <row r="100" ht="20" customHeight="1">
      <c r="A100" s="7" t="inlineStr">
        <is>
          <t>8120</t>
        </is>
      </c>
      <c r="B100" s="8" t="inlineStr">
        <is>
          <t>Komisi &amp; Bonus Penjualan</t>
        </is>
      </c>
      <c r="C100" s="9" t="inlineStr">
        <is>
          <t>Expense</t>
        </is>
      </c>
      <c r="D100" s="9" t="n">
        <v>0</v>
      </c>
      <c r="E100" s="10" t="inlineStr">
        <is>
          <t>8100 - Beban Penjualan &amp; Pemasaran</t>
        </is>
      </c>
      <c r="F100" s="9" t="inlineStr"/>
      <c r="G100" s="9" t="inlineStr">
        <is>
          <t>IDR</t>
        </is>
      </c>
      <c r="H100" s="8" t="inlineStr">
        <is>
          <t>Komisi salesman, agen distributor, &amp; tim marketing</t>
        </is>
      </c>
    </row>
    <row r="101" ht="20" customHeight="1">
      <c r="A101" s="11" t="inlineStr">
        <is>
          <t>8130</t>
        </is>
      </c>
      <c r="B101" s="12" t="inlineStr">
        <is>
          <t>Biaya Pengiriman Penjualan (Freight Out)</t>
        </is>
      </c>
      <c r="C101" s="13" t="inlineStr">
        <is>
          <t>Expense</t>
        </is>
      </c>
      <c r="D101" s="13" t="n">
        <v>0</v>
      </c>
      <c r="E101" s="14" t="inlineStr">
        <is>
          <t>8100 - Beban Penjualan &amp; Pemasaran</t>
        </is>
      </c>
      <c r="F101" s="13" t="inlineStr"/>
      <c r="G101" s="13" t="inlineStr">
        <is>
          <t>IDR</t>
        </is>
      </c>
      <c r="H101" s="12" t="inlineStr">
        <is>
          <t>Ongkos kirim ekspedisi penjualan ke customer (jika ditanggung perusahaan)</t>
        </is>
      </c>
    </row>
    <row r="102" ht="20" customHeight="1">
      <c r="A102" s="4" t="inlineStr">
        <is>
          <t>8200</t>
        </is>
      </c>
      <c r="B102" s="5" t="inlineStr">
        <is>
          <t>Beban Umum &amp; Administrasi</t>
        </is>
      </c>
      <c r="C102" s="6" t="inlineStr">
        <is>
          <t>Expense</t>
        </is>
      </c>
      <c r="D102" s="6" t="n">
        <v>1</v>
      </c>
      <c r="E102" s="5" t="inlineStr">
        <is>
          <t>8000 - Beban Operasional Komersial (OpEx)</t>
        </is>
      </c>
      <c r="F102" s="6" t="inlineStr"/>
      <c r="G102" s="6" t="inlineStr">
        <is>
          <t>IDR</t>
        </is>
      </c>
      <c r="H102" s="5" t="inlineStr">
        <is>
          <t>General &amp; Administrative Expenses</t>
        </is>
      </c>
    </row>
    <row r="103" ht="20" customHeight="1">
      <c r="A103" s="11" t="inlineStr">
        <is>
          <t>8210</t>
        </is>
      </c>
      <c r="B103" s="12" t="inlineStr">
        <is>
          <t>Gaji Direksi &amp; Staf Administrasi Kantor</t>
        </is>
      </c>
      <c r="C103" s="13" t="inlineStr">
        <is>
          <t>Expense</t>
        </is>
      </c>
      <c r="D103" s="13" t="n">
        <v>0</v>
      </c>
      <c r="E103" s="14" t="inlineStr">
        <is>
          <t>8200 - Beban Umum &amp; Administrasi</t>
        </is>
      </c>
      <c r="F103" s="13" t="inlineStr"/>
      <c r="G103" s="13" t="inlineStr">
        <is>
          <t>IDR</t>
        </is>
      </c>
      <c r="H103" s="12" t="inlineStr">
        <is>
          <t>Gaji staf HRD, Finance, Purchasing, &amp; Direksi</t>
        </is>
      </c>
    </row>
    <row r="104" ht="20" customHeight="1">
      <c r="A104" s="7" t="inlineStr">
        <is>
          <t>8220</t>
        </is>
      </c>
      <c r="B104" s="8" t="inlineStr">
        <is>
          <t>Sewa Kantor &amp; Utility Head Office</t>
        </is>
      </c>
      <c r="C104" s="9" t="inlineStr">
        <is>
          <t>Expense</t>
        </is>
      </c>
      <c r="D104" s="9" t="n">
        <v>0</v>
      </c>
      <c r="E104" s="10" t="inlineStr">
        <is>
          <t>8200 - Beban Umum &amp; Administrasi</t>
        </is>
      </c>
      <c r="F104" s="9" t="inlineStr"/>
      <c r="G104" s="9" t="inlineStr">
        <is>
          <t>IDR</t>
        </is>
      </c>
      <c r="H104" s="8" t="inlineStr">
        <is>
          <t>Sewa gedung kantor pusat, listrik, air &amp; kebersihan</t>
        </is>
      </c>
    </row>
    <row r="105" ht="20" customHeight="1">
      <c r="A105" s="11" t="inlineStr">
        <is>
          <t>8230</t>
        </is>
      </c>
      <c r="B105" s="12" t="inlineStr">
        <is>
          <t>Penyusutan Aset Tetap Kantor &amp; Komputer</t>
        </is>
      </c>
      <c r="C105" s="13" t="inlineStr">
        <is>
          <t>Expense</t>
        </is>
      </c>
      <c r="D105" s="13" t="n">
        <v>0</v>
      </c>
      <c r="E105" s="14" t="inlineStr">
        <is>
          <t>8200 - Beban Umum &amp; Administrasi</t>
        </is>
      </c>
      <c r="F105" s="13" t="inlineStr">
        <is>
          <t>Depreciation</t>
        </is>
      </c>
      <c r="G105" s="13" t="inlineStr">
        <is>
          <t>IDR</t>
        </is>
      </c>
      <c r="H105" s="12" t="inlineStr">
        <is>
          <t>Depresiasi komputer, laptop, meja kantor, &amp; inventaris HO</t>
        </is>
      </c>
    </row>
    <row r="106" ht="20" customHeight="1">
      <c r="A106" s="7" t="inlineStr">
        <is>
          <t>8240</t>
        </is>
      </c>
      <c r="B106" s="8" t="inlineStr">
        <is>
          <t>Biaya Perizinan, Legal &amp; Konsultan</t>
        </is>
      </c>
      <c r="C106" s="9" t="inlineStr">
        <is>
          <t>Expense</t>
        </is>
      </c>
      <c r="D106" s="9" t="n">
        <v>0</v>
      </c>
      <c r="E106" s="10" t="inlineStr">
        <is>
          <t>8200 - Beban Umum &amp; Administrasi</t>
        </is>
      </c>
      <c r="F106" s="9" t="inlineStr"/>
      <c r="G106" s="9" t="inlineStr">
        <is>
          <t>IDR</t>
        </is>
      </c>
      <c r="H106" s="8" t="inlineStr">
        <is>
          <t>Biaya jasa akuntan publik, konsultan pajak, &amp; perizinan usaha</t>
        </is>
      </c>
    </row>
    <row r="107" ht="20" customHeight="1">
      <c r="A107" s="11" t="inlineStr">
        <is>
          <t>8250</t>
        </is>
      </c>
      <c r="B107" s="12" t="inlineStr">
        <is>
          <t>Beban Telepon, Internet &amp; Software ERP</t>
        </is>
      </c>
      <c r="C107" s="13" t="inlineStr">
        <is>
          <t>Expense</t>
        </is>
      </c>
      <c r="D107" s="13" t="n">
        <v>0</v>
      </c>
      <c r="E107" s="14" t="inlineStr">
        <is>
          <t>8200 - Beban Umum &amp; Administrasi</t>
        </is>
      </c>
      <c r="F107" s="13" t="inlineStr"/>
      <c r="G107" s="13" t="inlineStr">
        <is>
          <t>IDR</t>
        </is>
      </c>
      <c r="H107" s="12" t="inlineStr">
        <is>
          <t>Tagihan internet, langganan cloud server &amp; lisensi ERPNext</t>
        </is>
      </c>
    </row>
    <row r="108" ht="20" customHeight="1">
      <c r="A108" s="7" t="inlineStr">
        <is>
          <t>8260</t>
        </is>
      </c>
      <c r="B108" s="8" t="inlineStr">
        <is>
          <t>Beban Alat Tulis Kantor &amp; Cetakan</t>
        </is>
      </c>
      <c r="C108" s="9" t="inlineStr">
        <is>
          <t>Expense</t>
        </is>
      </c>
      <c r="D108" s="9" t="n">
        <v>0</v>
      </c>
      <c r="E108" s="10" t="inlineStr">
        <is>
          <t>8200 - Beban Umum &amp; Administrasi</t>
        </is>
      </c>
      <c r="F108" s="9" t="inlineStr"/>
      <c r="G108" s="9" t="inlineStr">
        <is>
          <t>IDR</t>
        </is>
      </c>
      <c r="H108" s="8" t="inlineStr">
        <is>
          <t>ATK, kertas, pita printer, &amp; kebutuhan kantor harian</t>
        </is>
      </c>
    </row>
    <row r="109" ht="20" customHeight="1">
      <c r="A109" s="4" t="inlineStr">
        <is>
          <t>9000</t>
        </is>
      </c>
      <c r="B109" s="5" t="inlineStr">
        <is>
          <t>Beban Lain-Lain &amp; Keuangan</t>
        </is>
      </c>
      <c r="C109" s="6" t="inlineStr">
        <is>
          <t>Expense</t>
        </is>
      </c>
      <c r="D109" s="6" t="n">
        <v>1</v>
      </c>
      <c r="E109" s="5" t="inlineStr">
        <is>
          <t>6000 - Beban Operasional &amp; Produksi</t>
        </is>
      </c>
      <c r="F109" s="6" t="inlineStr"/>
      <c r="G109" s="6" t="inlineStr">
        <is>
          <t>IDR</t>
        </is>
      </c>
      <c r="H109" s="5" t="inlineStr">
        <is>
          <t>Non-Operating Expenses</t>
        </is>
      </c>
    </row>
    <row r="110" ht="20" customHeight="1">
      <c r="A110" s="7" t="inlineStr">
        <is>
          <t>9110</t>
        </is>
      </c>
      <c r="B110" s="8" t="inlineStr">
        <is>
          <t>Beban Bunga Pinjaman Bank</t>
        </is>
      </c>
      <c r="C110" s="9" t="inlineStr">
        <is>
          <t>Expense</t>
        </is>
      </c>
      <c r="D110" s="9" t="n">
        <v>0</v>
      </c>
      <c r="E110" s="10" t="inlineStr">
        <is>
          <t>9000 - Beban Lain-Lain &amp; Keuangan</t>
        </is>
      </c>
      <c r="F110" s="9" t="inlineStr"/>
      <c r="G110" s="9" t="inlineStr">
        <is>
          <t>IDR</t>
        </is>
      </c>
      <c r="H110" s="8" t="inlineStr">
        <is>
          <t>Bunga bulanan kredit modal kerja &amp; investasi bank</t>
        </is>
      </c>
    </row>
    <row r="111" ht="20" customHeight="1">
      <c r="A111" s="11" t="inlineStr">
        <is>
          <t>9120</t>
        </is>
      </c>
      <c r="B111" s="12" t="inlineStr">
        <is>
          <t>Beban Administrasi Bank &amp; Transfer</t>
        </is>
      </c>
      <c r="C111" s="13" t="inlineStr">
        <is>
          <t>Expense</t>
        </is>
      </c>
      <c r="D111" s="13" t="n">
        <v>0</v>
      </c>
      <c r="E111" s="14" t="inlineStr">
        <is>
          <t>9000 - Beban Lain-Lain &amp; Keuangan</t>
        </is>
      </c>
      <c r="F111" s="13" t="inlineStr"/>
      <c r="G111" s="13" t="inlineStr">
        <is>
          <t>IDR</t>
        </is>
      </c>
      <c r="H111" s="12" t="inlineStr">
        <is>
          <t>Biaya admin rekening bank, biaya kliring &amp; RTGS</t>
        </is>
      </c>
    </row>
    <row r="112" ht="20" customHeight="1">
      <c r="A112" s="7" t="inlineStr">
        <is>
          <t>9130</t>
        </is>
      </c>
      <c r="B112" s="8" t="inlineStr">
        <is>
          <t>Kerugian Selisih Kurs Realisasi</t>
        </is>
      </c>
      <c r="C112" s="9" t="inlineStr">
        <is>
          <t>Expense</t>
        </is>
      </c>
      <c r="D112" s="9" t="n">
        <v>0</v>
      </c>
      <c r="E112" s="10" t="inlineStr">
        <is>
          <t>9000 - Beban Lain-Lain &amp; Keuangan</t>
        </is>
      </c>
      <c r="F112" s="9" t="inlineStr">
        <is>
          <t>Exchange Gain/Loss</t>
        </is>
      </c>
      <c r="G112" s="9" t="inlineStr">
        <is>
          <t>IDR</t>
        </is>
      </c>
      <c r="H112" s="8" t="inlineStr">
        <is>
          <t>Rugi selisih kurs akibat fluktuasi mata uang asing</t>
        </is>
      </c>
    </row>
  </sheetData>
  <dataValidations count="2">
    <dataValidation sqref="D5:D112" showDropDown="0" showInputMessage="0" showErrorMessage="0" allowBlank="0" type="list">
      <formula1>"0,1"</formula1>
    </dataValidation>
    <dataValidation sqref="C5:C112" showDropDown="0" showInputMessage="0" showErrorMessage="0" allowBlank="0" type="list">
      <formula1>"Asset,Liability,Equity,Income,Expense"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2" customWidth="1" min="3" max="3"/>
    <col width="38" customWidth="1" min="4" max="4"/>
    <col width="65" customWidth="1" min="5" max="5"/>
  </cols>
  <sheetData>
    <row r="1">
      <c r="A1" s="1" t="inlineStr">
        <is>
          <t>PANDUAN OPERASIONAL AKUN KHUSUS MANUFAKTUR &amp; PERPETUAL INVENTORY</t>
        </is>
      </c>
    </row>
    <row r="2">
      <c r="A2" s="2" t="inlineStr">
        <is>
          <t>Penjelasan Peran Otomatisasi Jurnal ERPNext v15 untuk Akun-Akun Kunci Sektor Manufaktur</t>
        </is>
      </c>
    </row>
    <row r="4" ht="26" customHeight="1">
      <c r="A4" s="15" t="inlineStr">
        <is>
          <t>Nama Akun ERPNext</t>
        </is>
      </c>
      <c r="B4" s="15" t="inlineStr">
        <is>
          <t>Account Type di ERPNext</t>
        </is>
      </c>
      <c r="C4" s="15" t="inlineStr">
        <is>
          <t>Gudang / Modul Terkait</t>
        </is>
      </c>
      <c r="D4" s="15" t="inlineStr">
        <is>
          <t>Skenario Transaksi Terkait</t>
        </is>
      </c>
      <c r="E4" s="15" t="inlineStr">
        <is>
          <t>Mekanisme Jurnal Otomatis (Debit / Kredit)</t>
        </is>
      </c>
    </row>
    <row r="5" ht="45" customHeight="1">
      <c r="A5" s="16" t="inlineStr">
        <is>
          <t>Persediaan Bahan Baku (1310)</t>
        </is>
      </c>
      <c r="B5" s="17" t="inlineStr">
        <is>
          <t>Stock</t>
        </is>
      </c>
      <c r="C5" s="18" t="inlineStr">
        <is>
          <t>Gudang Bahan Baku (Stores)</t>
        </is>
      </c>
      <c r="D5" s="18" t="inlineStr">
        <is>
          <t>Penerimaan Bahan Baku dari Pemasok (Purchase Receipt)</t>
        </is>
      </c>
      <c r="E5" s="19" t="inlineStr">
        <is>
          <t>DEBIT: Persediaan Bahan Baku (1310)
KREDIT: Hutang Penerimaan Barang / SRNB (3121)
*Sistem mencatat kenaikan nilai aset persediaan secara FIFO/Valuation Rate.</t>
        </is>
      </c>
    </row>
    <row r="6" ht="45" customHeight="1">
      <c r="A6" s="20" t="inlineStr">
        <is>
          <t>Hutang Penerimaan Barang / SRNB (3121)</t>
        </is>
      </c>
      <c r="B6" s="21" t="inlineStr">
        <is>
          <t>Stock Received But Not Billed</t>
        </is>
      </c>
      <c r="C6" s="22" t="inlineStr">
        <is>
          <t>Procurement &amp; Buying</t>
        </is>
      </c>
      <c r="D6" s="22" t="inlineStr">
        <is>
          <t>Penerimaan Faktur Pembelian (Purchase Invoice) setelah barang diterima</t>
        </is>
      </c>
      <c r="E6" s="23" t="inlineStr">
        <is>
          <t>DEBIT: Hutang Penerimaan Barang / SRNB (3121)
DEBIT: PPN Masukan (1510)
KREDIT: Hutang Usaha Pemasok (3110)
*Menghapus hutang akrual sementara dan memindahkan ke hutang usaha resmi.</t>
        </is>
      </c>
    </row>
    <row r="7" ht="45" customHeight="1">
      <c r="A7" s="16" t="inlineStr">
        <is>
          <t>Biaya Angkut Pembelian / Inward Freight (6310)</t>
        </is>
      </c>
      <c r="B7" s="17" t="inlineStr">
        <is>
          <t>Expenses Included In Valuation</t>
        </is>
      </c>
      <c r="C7" s="18" t="inlineStr">
        <is>
          <t>Buying &amp; Stock (Landed Cost)</t>
        </is>
      </c>
      <c r="D7" s="18" t="inlineStr">
        <is>
          <t>Pengalokasian Ongkos Kirim Pembelian via Landed Cost Voucher</t>
        </is>
      </c>
      <c r="E7" s="19" t="inlineStr">
        <is>
          <t>DEBIT: Persediaan Bahan Baku (1310) [Bertambah Nilai]
KREDIT: Biaya Angkut Pembelian (6310)
*Kapitalisasi biaya pengiriman ke dalam nilai perolehan bahan baku.</t>
        </is>
      </c>
    </row>
    <row r="8" ht="45" customHeight="1">
      <c r="A8" s="20" t="inlineStr">
        <is>
          <t>Persediaan Barang Dalam Proses / WIP (1330)</t>
        </is>
      </c>
      <c r="B8" s="21" t="inlineStr">
        <is>
          <t>Stock</t>
        </is>
      </c>
      <c r="C8" s="22" t="inlineStr">
        <is>
          <t>Workstation Pabrik (WIP Warehouse)</t>
        </is>
      </c>
      <c r="D8" s="22" t="inlineStr">
        <is>
          <t>Transfer Bahan Baku ke Lantai Produksi (Work Order -&gt; Stock Entry Material Transfer)</t>
        </is>
      </c>
      <c r="E8" s="23" t="inlineStr">
        <is>
          <t>DEBIT: Persediaan Barang Dalam Proses / WIP (1330)
KREDIT: Persediaan Bahan Baku (1310)
*Memindahkan nilai bahan baku yang dikeluarkan dari gudang utama ke area kerja pabrik.</t>
        </is>
      </c>
    </row>
    <row r="9" ht="45" customHeight="1">
      <c r="A9" s="16" t="inlineStr">
        <is>
          <t>Penyelesaian Produksi / Finish Work Order</t>
        </is>
      </c>
      <c r="B9" s="17" t="inlineStr">
        <is>
          <t>Stock</t>
        </is>
      </c>
      <c r="C9" s="18" t="inlineStr">
        <is>
          <t>Gudang Barang Jadi (Finished Goods)</t>
        </is>
      </c>
      <c r="D9" s="18" t="inlineStr">
        <is>
          <t>Pencatatan Hasil Jadi Pabrik (Work Order -&gt; Stock Entry Manufacture)</t>
        </is>
      </c>
      <c r="E9" s="19" t="inlineStr">
        <is>
          <t>DEBIT: Persediaan Barang Jadi (1350)
KREDIT: Persediaan Barang Dalam Proses / WIP (1330)
KREDIT: HPP Overhead Diterapkan (6130) [Jika melampirkan Operating Cost]
*Mengkonversi WIP menjadi Produk Jadi siap jual.</t>
        </is>
      </c>
    </row>
    <row r="10" ht="45" customHeight="1">
      <c r="A10" s="20" t="inlineStr">
        <is>
          <t>Beban Penyesuaian Stok / Stock Adjustment (6210)</t>
        </is>
      </c>
      <c r="B10" s="21" t="inlineStr">
        <is>
          <t>Stock Adjustment</t>
        </is>
      </c>
      <c r="C10" s="22" t="inlineStr">
        <is>
          <t>Stock / Stock Reconciliation</t>
        </is>
      </c>
      <c r="D10" s="22" t="inlineStr">
        <is>
          <t>Penyesuaian Stok Opnam atau Kerusakan Bahan (Stock Entry / Reconciliation)</t>
        </is>
      </c>
      <c r="E10" s="23" t="inlineStr">
        <is>
          <t>Jika Stok Berkurang/Rusak:
DEBIT: Beban Penyesuaian Stok (6210)
KREDIT: Persediaan Bahan Baku/Jadi
*Mencatat selisih fisik persediaan langsung ke Laporan Laba Rugi.</t>
        </is>
      </c>
    </row>
    <row r="11" ht="45" customHeight="1">
      <c r="A11" s="16" t="inlineStr">
        <is>
          <t>Harga Pokok Penjualan / COGS (6110)</t>
        </is>
      </c>
      <c r="B11" s="17" t="inlineStr">
        <is>
          <t>Cost of Goods Sold</t>
        </is>
      </c>
      <c r="C11" s="18" t="inlineStr">
        <is>
          <t>Selling &amp; Delivery Note</t>
        </is>
      </c>
      <c r="D11" s="18" t="inlineStr">
        <is>
          <t>Pengiriman Barang ke Pelanggan (Delivery Note)</t>
        </is>
      </c>
      <c r="E11" s="19" t="inlineStr">
        <is>
          <t>DEBIT: HPP Bahan Baku &amp; Garment (6110)
KREDIT: Persediaan Barang Jadi (1350)
*Sistem mengakui HPP saat terjadi serah terima barang (Matching Principle).</t>
        </is>
      </c>
    </row>
    <row r="12" ht="45" customHeight="1">
      <c r="A12" s="20" t="inlineStr">
        <is>
          <t>Penjualan Garment Lokal (5110)</t>
        </is>
      </c>
      <c r="B12" s="21" t="inlineStr">
        <is>
          <t>Income Account</t>
        </is>
      </c>
      <c r="C12" s="22" t="inlineStr">
        <is>
          <t>Selling &amp; Sales Invoice</t>
        </is>
      </c>
      <c r="D12" s="22" t="inlineStr">
        <is>
          <t>Penagihan Penjualan ke Pelanggan (Sales Invoice)</t>
        </is>
      </c>
      <c r="E12" s="23" t="inlineStr">
        <is>
          <t>DEBIT: Piutang Dagang Pelanggan (1210)
KREDIT: Penjualan Garment Lokal (5110)
KREDIT: PPN Keluaran (3141)
*Pencatatan omzet penjualan dan kewajiban pajak PPN.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2" customWidth="1" min="3" max="3"/>
    <col width="25" customWidth="1" min="4" max="4"/>
  </cols>
  <sheetData>
    <row r="1">
      <c r="A1" s="1" t="inlineStr">
        <is>
          <t>RINGKASAN REKAPITULASI KODE AKUN &amp; PETUNJUK IMPORT ERPNEXT</t>
        </is>
      </c>
    </row>
    <row r="2">
      <c r="A2" s="2" t="inlineStr">
        <is>
          <t>Statistik Struktur Akun Manufaktur &amp; Tahapan Pengunggahan via Master Data Import</t>
        </is>
      </c>
    </row>
    <row r="4">
      <c r="A4" s="24" t="inlineStr">
        <is>
          <t>REKAPITULASI AKUN BERDASARKAN KELOMPOK ROOT (ROOT TYPE)</t>
        </is>
      </c>
    </row>
    <row r="5" ht="24" customHeight="1">
      <c r="A5" s="3" t="inlineStr">
        <is>
          <t>Kelompok Root (Root Type)</t>
        </is>
      </c>
      <c r="B5" s="3" t="inlineStr">
        <is>
          <t>Jumlah Akun Group (Folder)</t>
        </is>
      </c>
      <c r="C5" s="3" t="inlineStr">
        <is>
          <t>Jumlah Akun Transaksi (Ledger)</t>
        </is>
      </c>
      <c r="D5" s="3" t="inlineStr">
        <is>
          <t>Total Akun</t>
        </is>
      </c>
    </row>
    <row r="6" ht="20" customHeight="1">
      <c r="A6" s="16" t="inlineStr">
        <is>
          <t>Asset</t>
        </is>
      </c>
      <c r="B6" s="25">
        <f>COUNTIFS('Chart of Accounts ERPNext'!$C$5:$C$112, "Asset", 'Chart of Accounts ERPNext'!$D$5:$D$112, 1)</f>
        <v/>
      </c>
      <c r="C6" s="25">
        <f>COUNTIFS('Chart of Accounts ERPNext'!$C$5:$C$112, "Asset", 'Chart of Accounts ERPNext'!$D$5:$D$112, 0)</f>
        <v/>
      </c>
      <c r="D6" s="25">
        <f>SUM(B6:C6)</f>
        <v/>
      </c>
    </row>
    <row r="7" ht="20" customHeight="1">
      <c r="A7" s="16" t="inlineStr">
        <is>
          <t>Liability</t>
        </is>
      </c>
      <c r="B7" s="25">
        <f>COUNTIFS('Chart of Accounts ERPNext'!$C$5:$C$112, "Liability", 'Chart of Accounts ERPNext'!$D$5:$D$112, 1)</f>
        <v/>
      </c>
      <c r="C7" s="25">
        <f>COUNTIFS('Chart of Accounts ERPNext'!$C$5:$C$112, "Liability", 'Chart of Accounts ERPNext'!$D$5:$D$112, 0)</f>
        <v/>
      </c>
      <c r="D7" s="25">
        <f>SUM(B7:C7)</f>
        <v/>
      </c>
    </row>
    <row r="8" ht="20" customHeight="1">
      <c r="A8" s="16" t="inlineStr">
        <is>
          <t>Equity</t>
        </is>
      </c>
      <c r="B8" s="25">
        <f>COUNTIFS('Chart of Accounts ERPNext'!$C$5:$C$112, "Equity", 'Chart of Accounts ERPNext'!$D$5:$D$112, 1)</f>
        <v/>
      </c>
      <c r="C8" s="25">
        <f>COUNTIFS('Chart of Accounts ERPNext'!$C$5:$C$112, "Equity", 'Chart of Accounts ERPNext'!$D$5:$D$112, 0)</f>
        <v/>
      </c>
      <c r="D8" s="25">
        <f>SUM(B8:C8)</f>
        <v/>
      </c>
    </row>
    <row r="9" ht="20" customHeight="1">
      <c r="A9" s="16" t="inlineStr">
        <is>
          <t>Income</t>
        </is>
      </c>
      <c r="B9" s="25">
        <f>COUNTIFS('Chart of Accounts ERPNext'!$C$5:$C$112, "Income", 'Chart of Accounts ERPNext'!$D$5:$D$112, 1)</f>
        <v/>
      </c>
      <c r="C9" s="25">
        <f>COUNTIFS('Chart of Accounts ERPNext'!$C$5:$C$112, "Income", 'Chart of Accounts ERPNext'!$D$5:$D$112, 0)</f>
        <v/>
      </c>
      <c r="D9" s="25">
        <f>SUM(B9:C9)</f>
        <v/>
      </c>
    </row>
    <row r="10" ht="20" customHeight="1">
      <c r="A10" s="16" t="inlineStr">
        <is>
          <t>Expense</t>
        </is>
      </c>
      <c r="B10" s="25">
        <f>COUNTIFS('Chart of Accounts ERPNext'!$C$5:$C$112, "Expense", 'Chart of Accounts ERPNext'!$D$5:$D$112, 1)</f>
        <v/>
      </c>
      <c r="C10" s="25">
        <f>COUNTIFS('Chart of Accounts ERPNext'!$C$5:$C$112, "Expense", 'Chart of Accounts ERPNext'!$D$5:$D$112, 0)</f>
        <v/>
      </c>
      <c r="D10" s="25">
        <f>SUM(B10:C10)</f>
        <v/>
      </c>
    </row>
    <row r="11" ht="22" customHeight="1">
      <c r="A11" s="26" t="inlineStr">
        <is>
          <t>TOTAL KESELURUHAN AKUN</t>
        </is>
      </c>
      <c r="B11" s="27">
        <f>SUM(B6:B10)</f>
        <v/>
      </c>
      <c r="C11" s="27">
        <f>SUM(C6:C10)</f>
        <v/>
      </c>
      <c r="D11" s="27">
        <f>SUM(D6:D10)</f>
        <v/>
      </c>
    </row>
    <row r="14">
      <c r="A14" s="24" t="inlineStr">
        <is>
          <t>LANGKAH-LANGKAH IMPORT CHART OF ACCOUNTS KE ERPNEXT v15</t>
        </is>
      </c>
    </row>
    <row r="15">
      <c r="A15" s="28" t="inlineStr">
        <is>
          <t>Langkah 1: Siapkan Perusahaan Baru</t>
        </is>
      </c>
    </row>
    <row r="16" ht="42" customHeight="1">
      <c r="A16" s="29" t="inlineStr">
        <is>
          <t>Pastikan Company di ERPNext telah dibuat (misal: PT Azzahra Busana Mandiri) dan Chart of Accounts standar dipisahkan/disesuaikan.</t>
        </is>
      </c>
    </row>
    <row r="17">
      <c r="A17" s="28" t="inlineStr">
        <is>
          <t>Langkah 2: Gunakan Data Import Tool</t>
        </is>
      </c>
    </row>
    <row r="18" ht="42" customHeight="1">
      <c r="A18" s="29" t="inlineStr">
        <is>
          <t>Buka menu Data Import di ERPNext -&gt; Pilih DocType: 'Account' -&gt; Klik 'Download Template' (pilih 'Insert New Records').</t>
        </is>
      </c>
    </row>
    <row r="19">
      <c r="A19" s="28" t="inlineStr">
        <is>
          <t>Langkah 3: Pemetaan Kolom Excel</t>
        </is>
      </c>
    </row>
    <row r="20" ht="42" customHeight="1">
      <c r="A20" s="29" t="inlineStr">
        <is>
          <t>Salin data dari Sheet 'Chart of Accounts ERPNext' di file ini ke template import ERPNext:
- Account Name -&gt; Nama Akun
- Account Number -&gt; Kode Akun
- Parent Account -&gt; Induk Akun (Format ERPNext: 'Kode - Nama' misal: '1100 - Aset Lancar')
- Is Group -&gt; 1 untuk Folder/Group, 0 untuk Akun Transaksi/Ledger
- Root Type -&gt; Asset / Liability / Equity / Income / Expense
- Account Type -&gt; Pilih tipe akun sesuai tabel (Stock, Bank, Cash, Cost of Goods Sold, dll)</t>
        </is>
      </c>
    </row>
    <row r="21">
      <c r="A21" s="28" t="inlineStr">
        <is>
          <t>Langkah 4: Upload Akun Group Terlebih Dahulu</t>
        </is>
      </c>
    </row>
    <row r="22" ht="42" customHeight="1">
      <c r="A22" s="29" t="inlineStr">
        <is>
          <t>Pastikan akun berstatus Group (Is Group = 1) di-import terlebih dahulu sebelum akun Child/Ledger (Is Group = 0) agar hierarki Parent Account tidak error.</t>
        </is>
      </c>
    </row>
    <row r="23">
      <c r="A23" s="28" t="inlineStr">
        <is>
          <t>Langkah 5: Konfigurasi Company Accounts</t>
        </is>
      </c>
    </row>
    <row r="24" ht="42" customHeight="1">
      <c r="A24" s="29" t="inlineStr">
        <is>
          <t>Setelah import berhasil, masuk ke menu Company -&gt; Default Accounts:
- Default Stock Account -&gt; 1310 (Persediaan Bahan Baku)
- Default Stock Received But Not Billed -&gt; 3121 (Hutang Penerimaan Barang)
- Default Cost of Goods Sold Account -&gt; 6110 (HPP Bahan Baku)
- Default Expenses Included In Valuation -&gt; 6310 (Biaya Angkut Pembelian)
- Stock Adjustment Account -&gt; 6210 (Beban Penyesuaian Stok)</t>
        </is>
      </c>
    </row>
  </sheetData>
  <mergeCells count="10">
    <mergeCell ref="A17:D17"/>
    <mergeCell ref="A18:D18"/>
    <mergeCell ref="A23:D23"/>
    <mergeCell ref="A22:D22"/>
    <mergeCell ref="A20:D20"/>
    <mergeCell ref="A21:D21"/>
    <mergeCell ref="A15:D15"/>
    <mergeCell ref="A24:D24"/>
    <mergeCell ref="A19:D19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2026-10-12T08:44:36Z</dcterms:created>
  <dcterms:modified xmlns:dcterms="http://purl.org/dc/terms/" xmlns:xsi="http://www.w3.org/2001/XMLSchema-instance" xsi:type="dcterms:W3CDTF">2026-10-12T08:44:36Z</dcterms:modified>
</cp:coreProperties>
</file>